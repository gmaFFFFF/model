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fileSharing readOnlyRecommended="1"/>
  <workbookPr backupFile="1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ocs\maxim\prj\prog\dev\model\contragents\"/>
    </mc:Choice>
  </mc:AlternateContent>
  <xr:revisionPtr revIDLastSave="0" documentId="13_ncr:1_{B338083E-ED43-4E1E-A6FC-0098C95497B1}" xr6:coauthVersionLast="47" xr6:coauthVersionMax="47" xr10:uidLastSave="{00000000-0000-0000-0000-000000000000}"/>
  <bookViews>
    <workbookView xWindow="-120" yWindow="-120" windowWidth="25440" windowHeight="15390" tabRatio="798" activeTab="4" xr2:uid="{00000000-000D-0000-FFFF-FFFF00000000}"/>
  </bookViews>
  <sheets>
    <sheet name="Егрюл" sheetId="1" r:id="rId1"/>
    <sheet name="Должности" sheetId="18" r:id="rId2"/>
    <sheet name="ОПФ" sheetId="19" r:id="rId3"/>
    <sheet name="Export" sheetId="20" r:id="rId4"/>
    <sheet name="Параметры" sheetId="21" r:id="rId5"/>
  </sheets>
  <functionGroups builtInGroupCount="19"/>
  <definedNames>
    <definedName name="ExternalData_1" localSheetId="3" hidden="1">Export!$A$1:$W$8</definedName>
    <definedName name="RefBank">#REF!</definedName>
    <definedName name="RefDocAgent">#REF!</definedName>
    <definedName name="RefName">#REF!</definedName>
    <definedName name="RefOrganization">Егрюл!#REF!</definedName>
    <definedName name="RefPatronomic">#REF!</definedName>
    <definedName name="RefPhisic">#REF!</definedName>
    <definedName name="RefSurname">#REF!</definedName>
    <definedName name="_xlnm.Print_Area" localSheetId="0">Егрюл[[Отображение]:[Название краткое]]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/>
  <c r="A5" i="1" s="1"/>
  <c r="H8" i="1"/>
  <c r="N8" i="1"/>
  <c r="T8" i="1"/>
  <c r="Y8" i="1"/>
  <c r="AC8" i="1"/>
  <c r="AG8" i="1"/>
  <c r="AL8" i="1"/>
  <c r="AC7" i="1"/>
  <c r="AP7" i="1"/>
  <c r="AA6" i="1"/>
  <c r="N7" i="1"/>
  <c r="AO7" i="1"/>
  <c r="E7" i="1"/>
  <c r="T7" i="1"/>
  <c r="AE7" i="1"/>
  <c r="X5" i="1"/>
  <c r="AI5" i="1"/>
  <c r="AU5" i="1"/>
  <c r="V8" i="1"/>
  <c r="AN8" i="1"/>
  <c r="AR8" i="1"/>
  <c r="AW8" i="1"/>
  <c r="AN7" i="1"/>
  <c r="T6" i="1"/>
  <c r="X6" i="1"/>
  <c r="AG7" i="1"/>
  <c r="AU7" i="1"/>
  <c r="AE6" i="1"/>
  <c r="AB7" i="1"/>
  <c r="AL7" i="1"/>
  <c r="H6" i="1"/>
  <c r="AI6" i="1"/>
  <c r="AG6" i="1"/>
  <c r="AG5" i="1"/>
  <c r="AW5" i="1"/>
  <c r="AP5" i="1"/>
  <c r="AL5" i="1"/>
  <c r="K5" i="1"/>
  <c r="AP6" i="1"/>
  <c r="AB5" i="1"/>
  <c r="E5" i="1"/>
  <c r="Y5" i="1"/>
  <c r="E8" i="1"/>
  <c r="K8" i="1"/>
  <c r="Q8" i="1"/>
  <c r="AA8" i="1"/>
  <c r="AE8" i="1"/>
  <c r="AI8" i="1"/>
  <c r="AO8" i="1"/>
  <c r="K7" i="1"/>
  <c r="AL6" i="1"/>
  <c r="N6" i="1"/>
  <c r="AR7" i="1"/>
  <c r="Y6" i="1"/>
  <c r="AB6" i="1"/>
  <c r="AR6" i="1"/>
  <c r="AW7" i="1"/>
  <c r="AC6" i="1"/>
  <c r="Q6" i="1"/>
  <c r="AR5" i="1"/>
  <c r="AN5" i="1"/>
  <c r="H5" i="1"/>
  <c r="X8" i="1"/>
  <c r="AB8" i="1"/>
  <c r="AP8" i="1"/>
  <c r="AU8" i="1"/>
  <c r="H7" i="1"/>
  <c r="AI7" i="1"/>
  <c r="AW6" i="1"/>
  <c r="AO6" i="1"/>
  <c r="Q7" i="1"/>
  <c r="V6" i="1"/>
  <c r="Y7" i="1"/>
  <c r="AU6" i="1"/>
  <c r="AA7" i="1"/>
  <c r="AN6" i="1"/>
  <c r="V7" i="1"/>
  <c r="AC5" i="1"/>
  <c r="AA5" i="1"/>
  <c r="V5" i="1"/>
  <c r="AO5" i="1"/>
  <c r="AE5" i="1"/>
  <c r="Q5" i="1"/>
  <c r="E6" i="1"/>
  <c r="X7" i="1"/>
  <c r="K6" i="1"/>
  <c r="N5" i="1"/>
  <c r="T5" i="1"/>
  <c r="AT8" i="1" l="1"/>
  <c r="W8" i="1"/>
  <c r="AH8" i="1"/>
  <c r="AD8" i="1"/>
  <c r="Z8" i="1"/>
  <c r="P8" i="1"/>
  <c r="D8" i="1"/>
  <c r="A8" i="1" s="1"/>
  <c r="AV8" i="1"/>
  <c r="AQ8" i="1"/>
  <c r="AK8" i="1"/>
  <c r="AF8" i="1"/>
  <c r="S8" i="1"/>
  <c r="G8" i="1"/>
  <c r="M8" i="1" s="1"/>
  <c r="AT5" i="1"/>
  <c r="P5" i="1"/>
  <c r="AD5" i="1"/>
  <c r="AK5" i="1"/>
  <c r="S5" i="1"/>
  <c r="G5" i="1" s="1"/>
  <c r="M5" i="1" s="1"/>
  <c r="AH5" i="1"/>
  <c r="AV5" i="1"/>
  <c r="W5" i="1"/>
  <c r="Z5" i="1"/>
  <c r="AQ5" i="1"/>
  <c r="AF5" i="1"/>
  <c r="P6" i="1"/>
  <c r="AF6" i="1"/>
  <c r="AD7" i="1"/>
  <c r="AH6" i="1"/>
  <c r="W7" i="1"/>
  <c r="Z7" i="1"/>
  <c r="AV7" i="1"/>
  <c r="AK7" i="1"/>
  <c r="S7" i="1"/>
  <c r="G7" i="1" s="1"/>
  <c r="M7" i="1" s="1"/>
  <c r="AT6" i="1"/>
  <c r="AQ6" i="1"/>
  <c r="D7" i="1"/>
  <c r="A7" i="1" s="1"/>
  <c r="AD6" i="1"/>
  <c r="D6" i="1"/>
  <c r="A6" i="1" s="1"/>
  <c r="AT7" i="1"/>
  <c r="P7" i="1"/>
  <c r="AQ7" i="1"/>
  <c r="AF7" i="1"/>
  <c r="W6" i="1"/>
  <c r="Z6" i="1"/>
  <c r="AV6" i="1"/>
  <c r="AK6" i="1"/>
  <c r="S6" i="1"/>
  <c r="G6" i="1" s="1"/>
  <c r="M6" i="1" s="1"/>
  <c r="AH7" i="1"/>
  <c r="J7" i="1"/>
  <c r="J5" i="1"/>
  <c r="J6" i="1" l="1"/>
  <c r="J8" i="1"/>
  <c r="B2" i="21"/>
  <c r="Q3" i="1"/>
  <c r="AC2" i="1"/>
  <c r="AR4" i="1"/>
  <c r="X3" i="1"/>
  <c r="AP2" i="1"/>
  <c r="Q4" i="1"/>
  <c r="N3" i="1"/>
  <c r="N2" i="1"/>
  <c r="AO2" i="1"/>
  <c r="V4" i="1"/>
  <c r="K3" i="1"/>
  <c r="AW3" i="1"/>
  <c r="V2" i="1"/>
  <c r="Y3" i="1"/>
  <c r="AR2" i="1"/>
  <c r="AL4" i="1"/>
  <c r="T2" i="1"/>
  <c r="H3" i="1"/>
  <c r="Q2" i="1"/>
  <c r="AE2" i="1"/>
  <c r="K4" i="1"/>
  <c r="AC3" i="1"/>
  <c r="N4" i="1"/>
  <c r="X4" i="1"/>
  <c r="AG3" i="1"/>
  <c r="AG2" i="1"/>
  <c r="AU2" i="1"/>
  <c r="AI4" i="1"/>
  <c r="AP3" i="1"/>
  <c r="AI3" i="1"/>
  <c r="X2" i="1"/>
  <c r="AP4" i="1"/>
  <c r="V3" i="1"/>
  <c r="K2" i="1"/>
  <c r="AO4" i="1"/>
  <c r="AI2" i="1"/>
  <c r="E2" i="1"/>
  <c r="Y4" i="1"/>
  <c r="AB2" i="1"/>
  <c r="H4" i="1"/>
  <c r="AA3" i="1"/>
  <c r="AR3" i="1"/>
  <c r="T3" i="1"/>
  <c r="AO3" i="1"/>
  <c r="AN4" i="1"/>
  <c r="AN3" i="1"/>
  <c r="AC4" i="1"/>
  <c r="AU4" i="1"/>
  <c r="AA2" i="1"/>
  <c r="AW4" i="1"/>
  <c r="AB3" i="1"/>
  <c r="AE3" i="1"/>
  <c r="AW2" i="1"/>
  <c r="T4" i="1"/>
  <c r="AB4" i="1"/>
  <c r="AL3" i="1"/>
  <c r="AL2" i="1"/>
  <c r="E4" i="1"/>
  <c r="AU3" i="1"/>
  <c r="Y2" i="1"/>
  <c r="H2" i="1"/>
  <c r="AE4" i="1"/>
  <c r="AN2" i="1"/>
  <c r="AG4" i="1"/>
  <c r="AA4" i="1"/>
  <c r="E3" i="1"/>
  <c r="AK4" i="1" l="1"/>
  <c r="AT4" i="1"/>
  <c r="W4" i="1"/>
  <c r="AD4" i="1"/>
  <c r="Z4" i="1"/>
  <c r="P4" i="1"/>
  <c r="D4" i="1"/>
  <c r="A4" i="1" s="1"/>
  <c r="AH4" i="1"/>
  <c r="AV4" i="1"/>
  <c r="AQ4" i="1"/>
  <c r="AF4" i="1"/>
  <c r="S4" i="1"/>
  <c r="AH3" i="1"/>
  <c r="AD3" i="1"/>
  <c r="Z3" i="1"/>
  <c r="P3" i="1"/>
  <c r="AV3" i="1"/>
  <c r="AQ3" i="1"/>
  <c r="AK3" i="1"/>
  <c r="AF3" i="1"/>
  <c r="S3" i="1"/>
  <c r="AT3" i="1"/>
  <c r="W3" i="1"/>
  <c r="D3" i="1"/>
  <c r="A3" i="1" s="1"/>
  <c r="AT2" i="1"/>
  <c r="W2" i="1"/>
  <c r="AD2" i="1"/>
  <c r="D2" i="1"/>
  <c r="A2" i="1" s="1"/>
  <c r="AV2" i="1"/>
  <c r="AQ2" i="1"/>
  <c r="AH2" i="1"/>
  <c r="Z2" i="1"/>
  <c r="P2" i="1"/>
  <c r="AK2" i="1"/>
  <c r="AF2" i="1"/>
  <c r="S2" i="1"/>
  <c r="B3" i="21"/>
  <c r="B5" i="21" s="1"/>
  <c r="J4" i="1" l="1"/>
  <c r="G4" i="1"/>
  <c r="M4" i="1" s="1"/>
  <c r="J3" i="1"/>
  <c r="G3" i="1"/>
  <c r="M3" i="1" s="1"/>
  <c r="J2" i="1"/>
  <c r="G2" i="1"/>
  <c r="M2" i="1" s="1"/>
  <c r="B6" i="21"/>
  <c r="B4" i="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interval="10" name="Запрос — subjects_org" description="Соединение с запросом &quot;subjects_org&quot; в книге." type="5" refreshedVersion="7" background="1" refreshOnLoad="1" saveData="1">
    <dbPr connection="Provider=Microsoft.Mashup.OleDb.1;Data Source=$Workbook$;Location=subjects_org;Extended Properties=&quot;&quot;" command="SELECT * FROM [subjects_org]"/>
  </connection>
  <connection id="2" xr16:uid="{00000000-0015-0000-FFFF-FFFF01000000}" keepAlive="1" name="Запрос — СправочникОпф" description="Соединение с запросом &quot;СправочникОпф&quot; в книге." type="5" refreshedVersion="0" background="1">
    <dbPr connection="Provider=Microsoft.Mashup.OleDb.1;Data Source=$Workbook$;Location=СправочникОпф;Extended Properties=&quot;&quot;" command="SELECT * FROM [СправочникОпф]"/>
  </connection>
</connections>
</file>

<file path=xl/sharedStrings.xml><?xml version="1.0" encoding="utf-8"?>
<sst xmlns="http://schemas.openxmlformats.org/spreadsheetml/2006/main" count="339" uniqueCount="246">
  <si>
    <t>Строка поиска</t>
  </si>
  <si>
    <t>Наименование краткое</t>
  </si>
  <si>
    <t>Название краткое</t>
  </si>
  <si>
    <t>ОПФ полное</t>
  </si>
  <si>
    <t>ОГРН</t>
  </si>
  <si>
    <t>Дата ОГРН</t>
  </si>
  <si>
    <t>ИНН</t>
  </si>
  <si>
    <t>КПП</t>
  </si>
  <si>
    <t>ОКВЭД</t>
  </si>
  <si>
    <t>ОКВЭД версия</t>
  </si>
  <si>
    <t>Число филиалов</t>
  </si>
  <si>
    <t>Тип подразделения</t>
  </si>
  <si>
    <t>Адрес</t>
  </si>
  <si>
    <t>Полный адрес</t>
  </si>
  <si>
    <t>Адрес из ЕГРЮЛ(исходный)</t>
  </si>
  <si>
    <t>Точность распознования адреса</t>
  </si>
  <si>
    <t>Наименование полное</t>
  </si>
  <si>
    <t>Название полное</t>
  </si>
  <si>
    <t>Должность руководителя</t>
  </si>
  <si>
    <t>Руководитель</t>
  </si>
  <si>
    <t>Статус</t>
  </si>
  <si>
    <t>Индекс</t>
  </si>
  <si>
    <t>JSON Исходник</t>
  </si>
  <si>
    <t>my_Название краткое</t>
  </si>
  <si>
    <t>my_Название полное</t>
  </si>
  <si>
    <t>my_Индекс</t>
  </si>
  <si>
    <t>my_Адрес</t>
  </si>
  <si>
    <t>my_Должность руководителя</t>
  </si>
  <si>
    <t>Генеральный директор</t>
  </si>
  <si>
    <t>Должность</t>
  </si>
  <si>
    <t>Заместитель Генерального директора 
по экономике и финансам</t>
  </si>
  <si>
    <t>Директор</t>
  </si>
  <si>
    <t>Индивидуальный предприниматель</t>
  </si>
  <si>
    <t>Президент, председатель правления</t>
  </si>
  <si>
    <t>Дат.падеж</t>
  </si>
  <si>
    <t>Директору</t>
  </si>
  <si>
    <t>Генеральному директору</t>
  </si>
  <si>
    <t>Президенту, председателю правления</t>
  </si>
  <si>
    <t>Руководителю</t>
  </si>
  <si>
    <t>Президент</t>
  </si>
  <si>
    <t>Президенту</t>
  </si>
  <si>
    <t>Председатель совета директоров</t>
  </si>
  <si>
    <t>Председателю совета директоров</t>
  </si>
  <si>
    <t>Заместителю Генерального директора 
по экономике и финансам</t>
  </si>
  <si>
    <t>ООО</t>
  </si>
  <si>
    <t>ОПФ</t>
  </si>
  <si>
    <t>АО</t>
  </si>
  <si>
    <t>ПАО</t>
  </si>
  <si>
    <t>Общество с ограниченной ответственностью</t>
  </si>
  <si>
    <t>Акционерное общество</t>
  </si>
  <si>
    <t>Публичное акционерное общество</t>
  </si>
  <si>
    <t>ИП</t>
  </si>
  <si>
    <t>Полное</t>
  </si>
  <si>
    <t>Акционерного общества</t>
  </si>
  <si>
    <t>Индивидуального предпринимателя</t>
  </si>
  <si>
    <t>Общества с ограниченной ответственностью</t>
  </si>
  <si>
    <t>Публичного акционерного общества</t>
  </si>
  <si>
    <t>ПолноеРодитПадеж</t>
  </si>
  <si>
    <t>ПолноеДатПадеж</t>
  </si>
  <si>
    <t>Акционерному обществу</t>
  </si>
  <si>
    <t>Индивидуальному предпринимателю</t>
  </si>
  <si>
    <t>Обществу с ограниченной ответственностью</t>
  </si>
  <si>
    <t>Публичному акционерному обществу</t>
  </si>
  <si>
    <t>Врио руководителя</t>
  </si>
  <si>
    <t>Управляющий делами Президента Российской Федерации</t>
  </si>
  <si>
    <t>my_Наименование краткое</t>
  </si>
  <si>
    <t>my_Наименование полное</t>
  </si>
  <si>
    <t>Управляющему делами Президента Российской Федерации</t>
  </si>
  <si>
    <t>Название краткое.Json</t>
  </si>
  <si>
    <t>Название полное.Json</t>
  </si>
  <si>
    <t>Наименование краткое.Json</t>
  </si>
  <si>
    <t>Наименование полное.Json</t>
  </si>
  <si>
    <t>ОПФ краткое</t>
  </si>
  <si>
    <t>ОПФ краткое.Json</t>
  </si>
  <si>
    <t>ОПФ полное.Json</t>
  </si>
  <si>
    <t>Дата ОГРН2.Json</t>
  </si>
  <si>
    <t>Индекс.Json</t>
  </si>
  <si>
    <t>Адрес.Json</t>
  </si>
  <si>
    <t>Должность руководителя.Json</t>
  </si>
  <si>
    <t>КПП.json</t>
  </si>
  <si>
    <t>Число филиалов.Json</t>
  </si>
  <si>
    <t>Тип подразделения.Json</t>
  </si>
  <si>
    <t>Руководитель.Json</t>
  </si>
  <si>
    <t>Статус.Json</t>
  </si>
  <si>
    <t>ФГБУ</t>
  </si>
  <si>
    <t>Государственное учреждение</t>
  </si>
  <si>
    <t>ФГАУ</t>
  </si>
  <si>
    <t>Федеральное государственное автономное учреждение</t>
  </si>
  <si>
    <t>ФГБДОУ</t>
  </si>
  <si>
    <t>Федеральное государственное бюджетное дошкольное образовательное учреждение</t>
  </si>
  <si>
    <t>ФГБОУ</t>
  </si>
  <si>
    <t>Федеральное государственное бюджетное общеобразовательное учреждение</t>
  </si>
  <si>
    <t>ФГБПОУ</t>
  </si>
  <si>
    <t>Федеральное государственное бюджетное профессиональное образовательное учреждение</t>
  </si>
  <si>
    <t>Федеральное государственное бюджетное учреждение</t>
  </si>
  <si>
    <t>ФГБУ ДПО</t>
  </si>
  <si>
    <t>Федеральное государственное бюджетное учреждение Дополнительного профессионального образования</t>
  </si>
  <si>
    <t>ФГБУК</t>
  </si>
  <si>
    <t>Федеральное государственное бюджетное учреждение культуры</t>
  </si>
  <si>
    <t>ФГУП</t>
  </si>
  <si>
    <t>Федеральное государственное унитарное предприятие</t>
  </si>
  <si>
    <t>Государственного учреждения</t>
  </si>
  <si>
    <t>государственному учреждение</t>
  </si>
  <si>
    <t>Федерального государственного бюджетного учреждения</t>
  </si>
  <si>
    <t>Федерального государственного бюджетного учреждения Дополнительного профессионального образования</t>
  </si>
  <si>
    <t>Федерального государственного бюджетного учреждения культуры</t>
  </si>
  <si>
    <t>Федеральному государственному бюджетному учреждению</t>
  </si>
  <si>
    <t>Федеральному государственному бюджетному учреждению Дополнительного профессионального образования</t>
  </si>
  <si>
    <t>Федеральному государственному бюджетному учреждению культуры</t>
  </si>
  <si>
    <t>Федеральное государственного автономного учреждения</t>
  </si>
  <si>
    <t>Федеральному государственному автономному учреждению</t>
  </si>
  <si>
    <t>Федерального государственного бюджетного дошкольного образовательного учреждения</t>
  </si>
  <si>
    <t>Федеральному государственному бюджетному дошкольному образовательному учреждению</t>
  </si>
  <si>
    <t>Федерального государственного бюджетного общеобразовательного учреждения</t>
  </si>
  <si>
    <t>Федеральному государственному бюджетному общеобразовательному учреждению</t>
  </si>
  <si>
    <t>Федерального государственного бюджетного профессионального образовательного учреждения</t>
  </si>
  <si>
    <t>Федеральному государственному бюджетному профессиональному образовательному учреждению</t>
  </si>
  <si>
    <t>Федерального государственного унитарного предприятия</t>
  </si>
  <si>
    <t>Федеральному государственному унитарному предприятию</t>
  </si>
  <si>
    <t>my_ОПФ</t>
  </si>
  <si>
    <t>my_ОПФ полное</t>
  </si>
  <si>
    <t>Врио генерального директора</t>
  </si>
  <si>
    <t>Врио директора</t>
  </si>
  <si>
    <t>Генеральный директор - художественный руководитель</t>
  </si>
  <si>
    <t>Генеральному директору - художественному руководителю</t>
  </si>
  <si>
    <t>Главный врач</t>
  </si>
  <si>
    <t>Главному врачу</t>
  </si>
  <si>
    <t>Заведущий</t>
  </si>
  <si>
    <t>Заведущему</t>
  </si>
  <si>
    <t>Заведующая</t>
  </si>
  <si>
    <t>Заведующей</t>
  </si>
  <si>
    <t>Заведующий</t>
  </si>
  <si>
    <t>Заведующему</t>
  </si>
  <si>
    <t>И.о. генерального директора</t>
  </si>
  <si>
    <t>И.о. директора</t>
  </si>
  <si>
    <t>Начальник</t>
  </si>
  <si>
    <t>Начальник учреждения</t>
  </si>
  <si>
    <t>Ректор</t>
  </si>
  <si>
    <t>Начальнику</t>
  </si>
  <si>
    <t>Начальнику учреждения</t>
  </si>
  <si>
    <t>Ректору</t>
  </si>
  <si>
    <t>Художественный руководитель</t>
  </si>
  <si>
    <t>Художественный руководитель - директор</t>
  </si>
  <si>
    <t>Художественному руководителю</t>
  </si>
  <si>
    <t>Художественному руководителю - директору</t>
  </si>
  <si>
    <t>Головная организация</t>
  </si>
  <si>
    <t>Распознан</t>
  </si>
  <si>
    <t>Действующая</t>
  </si>
  <si>
    <t>Филиал</t>
  </si>
  <si>
    <t>0</t>
  </si>
  <si>
    <t>Отображение</t>
  </si>
  <si>
    <t>773601001</t>
  </si>
  <si>
    <t>770801001</t>
  </si>
  <si>
    <t>Параметр</t>
  </si>
  <si>
    <t>Значение</t>
  </si>
  <si>
    <t>paramSheet</t>
  </si>
  <si>
    <t>curFileAndSheet</t>
  </si>
  <si>
    <t>curFolderPath</t>
  </si>
  <si>
    <t>paramSheetName</t>
  </si>
  <si>
    <t>curFileName</t>
  </si>
  <si>
    <t>paramsFileName</t>
  </si>
  <si>
    <t>params_share.xlsx</t>
  </si>
  <si>
    <t>Dadata_API_KEY</t>
  </si>
  <si>
    <t>213fab24618df0234b069282c2132c0c0a3d7711</t>
  </si>
  <si>
    <t>Dadata_Addres</t>
  </si>
  <si>
    <t>https://suggestions.dadata.ru/suggestions/api/4_1/rs/suggest/</t>
  </si>
  <si>
    <t>Газпром</t>
  </si>
  <si>
    <t>{"suggestions":[{"value":"ПАО \"ГАЗПРОМ\"","unrestricted_value":"ПАО \"ГАЗПРОМ\"","data":{"kpp":"781401001","capital":null,"management":{"name":"Миллер Алексей Борисович","post":"ПРЕДСЕДАТЕЛЬ ПРАВЛЕНИЯ","disqualified":null},"founders":null,"managers":null,"predecessors":null,"successors":null,"branch_type":"MAIN","branch_count":15,"source":null,"qc":null,"hid":"bef16272510abdbb949a8e353e6ce15ab045385ec5ffe0b91a31b77424159d34","type":"LEGAL","state":{"status":"ACTIVE","code":null,"actuality_date":1656288000000,"registration_date":730598400000,"liquidation_date":null},"opf":{"type":"2014","code":"12247","full":"Публичное акционерное общество","short":"ПАО"},"name":{"full_with_opf":"ПУБЛИЧНОЕ АКЦИОНЕРНОЕ ОБЩЕСТВО \"ГАЗПРОМ\"","short_with_opf":"ПАО \"ГАЗПРОМ\"","latin":null,"full":"ГАЗПРОМ","short":"ГАЗПРОМ"},"inn":"7736050003","ogrn":"1027700070518","okpo":"00040778","okato":"40270000000","oktmo":"40321000000","okogu":"4100601","okfs":"41","okved":"46.71","okveds":null,"authorities":null,"documents":null,"licenses":null,"finance":null,"address":{"value":"г Санкт-Петербург, Лахтинский пр-кт, д 2 к 3 стр 1","unrestricted_value":"197229, г Санкт-Петербург, Приморский р-н, Лахтинский пр-кт, д 2 к 3 стр 1","data":{"postal_code":"197229","country":"Россия","country_iso_code":"RU","federal_district":"Северо-Западный","region_fias_id":"c2deb16a-0330-4f05-821f-1d09c93331e6","region_kladr_id":"7800000000000","region_iso_code":"RU-SPE","region_with_type":"г Санкт-Петербург","region_type":"г","region_type_full":"город","region":"Санкт-Петербург","area_fias_id":null,"area_kladr_id":null,"area_with_type":null,"area_type":null,"area_type_full":null,"area":null,"city_fias_id":"c2deb16a-0330-4f05-821f-1d09c93331e6","city_kladr_id":"7800000000000","city_with_type":"г Санкт-Петербург","city_type":"г","city_type_full":"город","city":"Санкт-Петербург","city_area":null,"city_district_fias_id":null,"city_district_kladr_id":null,"city_district_with_type":"Приморский р-н","city_district_type":"р-н","city_district_type_full":"район","city_district":"Приморский","settlement_fias_id":null,"settlement_kladr_id":null,"settlement_with_type":null,"settlement_type":null,"settlement_type_full":null,"settlement":null,"street_fias_id":"24e7c8fd-69cb-4ad5-a17a-870b9033ca11","street_kladr_id":"78000000000239300","street_with_type":"Лахтинский пр-кт","street_type":"пр-кт","street_type_full":"проспект","street":"Лахтинский","stead_fias_id":null,"stead_cadnum":null,"stead_type":null,"stead_type_full":null,"stead":null,"house_fias_id":"caeb22b2-de77-41e9-98da-61643618af10","house_kladr_id":"7800000000023930308","house_cadnum":null,"house_type":"д","house_type_full":"дом","house":"2","block_type":"к","block_type_full":"корпус","block":"3 стр 1","entrance":null,"floor":null,"flat_fias_id":null,"flat_cadnum":null,"flat_type":null,"flat_type_full":null,"flat":null,"flat_area":null,"square_meter_price":null,"flat_price":null,"postal_box":null,"fias_id":"caeb22b2-de77-41e9-98da-61643618af10","fias_code":"78000000000000023930308","fias_level":"8","fias_actuality_state":"0","kladr_id":"7800000000023930308","geoname_id":"498817","capital_marker":"0","okato":"40270561000","oktmo":"40321000","tax_office":"7814","tax_office_legal":"7814","timezone":"UTC+3","geo_lat":"59.9887208","geo_lon":"30.1770801","beltway_hit":"IN_KAD","beltway_distance":null,"metro":[{"name":"Беговая","line":"Невско-Василеостровская","distance":1.4},{"name":"Зенит","line":"Невско-Василеостровская","distance":2.7},{"name":"Старая деревня","line":"Фрунзенско-Приморская","distance":4.3}],"divisions":null,"qc_geo":"1","qc_complete":null,"qc_house":null,"history_values":null,"unparsed_parts":null,"source":"197229, Г.Санкт-Петербург, ВН.ТЕР.Г. МУНИЦИПАЛЬНЫЙ ОКРУГ ЛАХТА-ОЛЬГИНО, ПР-КТ ЛАХТИНСКИЙ, Д. 2, К. 3, СТР. 1","qc":"0"}},"phones":null,"emails":null,"ogrn_date":1028246400000,"okved_type":"2014","employee_count":null}}]}</t>
  </si>
  <si>
    <t>Сбербанк</t>
  </si>
  <si>
    <t>{"suggestions":[{"value":"ПАО СБЕРБАНК","unrestricted_value":"ПАО СБЕРБАНК","data":{"kpp":"773601001","capital":null,"management":{"name":"Греф Герман Оскарович","post":"ПРЕЗИДЕНТ, ПРЕДСЕДАТЕЛЬ ПРАВЛЕНИЯ","disqualified":null},"founders":null,"managers":null,"predecessors":null,"successors":null,"branch_type":"MAIN","branch_count":86,"source":null,"qc":null,"hid":"588a141bc5e17cbc976ec2d0d54149af49d5a4ca16e26ed2effafdf06841d645","type":"LEGAL","state":{"status":"ACTIVE","code":null,"actuality_date":1654128000000,"registration_date":677376000000,"liquidation_date":null},"opf":{"type":"2014","code":"12247","full":"Публичное акционерное общество","short":"ПАО"},"name":{"full_with_opf":"ПУБЛИЧНОЕ АКЦИОНЕРНОЕ ОБЩЕСТВО \"СБЕРБАНК РОССИИ\"","short_with_opf":"ПАО СБЕРБАНК","latin":null,"full":"СБЕРБАНК РОССИИ","short":"СБЕРБАНК"},"inn":"7707083893","ogrn":"1027700132195","okpo":"00032537","okato":"45293554000","oktmo":"45397000000","okogu":"4100104","okfs":"41","okved":"64.19","okveds":null,"authorities":null,"documents":null,"licenses":null,"finance":null,"address":{"value":"г Москва, ул Вавилова, д 19","unrestricted_value":"117312, г Москва, Академический р-н, ул Вавилова, д 19","data":{"postal_code":"117312","country":"Россия","country_iso_code":"RU","federal_district":"Центральный","region_fias_id":"0c5b2444-70a0-4932-980c-b4dc0d3f02b5","region_kladr_id":"7700000000000","region_iso_code":"RU-MOW","region_with_type":"г Москва","region_type":"г","region_type_full":"город","region":"Москва","area_fias_id":null,"area_kladr_id":null,"area_with_type":null,"area_type":null,"area_type_full":null,"area":null,"city_fias_id":"0c5b2444-70a0-4932-980c-b4dc0d3f02b5","city_kladr_id":"7700000000000","city_with_type":"г Москва","city_type":"г","city_type_full":"город","city":"Москва","city_area":"Юго-западный","city_district_fias_id":null,"city_district_kladr_id":null,"city_district_with_type":"Академический р-н","city_district_type":"р-н","city_district_type_full":"район","city_district":"Академический","settlement_fias_id":null,"settlement_kladr_id":null,"settlement_with_type":null,"settlement_type":null,"settlement_type_full":null,"settlement":null,"street_fias_id":"25f8f29b-b110-40ab-a48e-9c72f5fb4331","street_kladr_id":"77000000000092400","street_with_type":"ул Вавилова","street_type":"ул","street_type_full":"улица","street":"Вавилова","stead_fias_id":null,"stead_cadnum":null,"stead_type":null,"stead_type_full":null,"stead":null,"house_fias_id":"93409d8c-d8d4-4491-838f-f9aa1678b5e6","house_kladr_id":"7700000000009240170","house_cadnum":"77:06:0002008:1036","house_type":"д","house_type_full":"дом","house":"19","block_type":null,"block_type_full":null,"block":null,"entrance":null,"floor":null,"flat_fias_id":null,"flat_cadnum":null,"flat_type":null,"flat_type_full":null,"flat":null,"flat_area":null,"square_meter_price":null,"flat_price":null,"postal_box":null,"fias_id":"93409d8c-d8d4-4491-838f-f9aa1678b5e6","fias_code":"77000000000000009240170","fias_level":"8","fias_actuality_state":"0","kladr_id":"7700000000009240170","geoname_id":"524901","capital_marker":"0","okato":"45293554000","oktmo":"45397000","tax_office":"7736","tax_office_legal":"7736","timezone":"UTC+3","geo_lat":"55.7001865","geo_lon":"37.5802234","beltway_hit":"IN_MKAD","beltway_distance":null,"metro":[{"name":"Ленинский проспект","line":"Калужско-Рижская","distance":0.8},{"name":"Площадь Гагарина","line":"МЦК","distance":0.8},{"name":"Академическая","line":"Калужско-Рижская","distance":1.5}],"divisions":null,"qc_geo":"0","qc_complete":null,"qc_house":null,"history_values":null,"unparsed_parts":null,"source":"117312, ГОРОД МОСКВА, УЛ. ВАВИЛОВА, Д.19","qc":"0"}},"phones":null,"emails":null,"ogrn_date":1029456000000,"okved_type":"2014","employee_count":null}}]}</t>
  </si>
  <si>
    <t>Министерство сельского хозяйства Российской Федерации</t>
  </si>
  <si>
    <t>{"suggestions":[{"value":"МИНСЕЛЬХОЗ РОССИИ","unrestricted_value":"МИНСЕЛЬХОЗ РОССИИ","data":{"kpp":"770801001","capital":null,"management":{"name":"Патрушев Дмитрий Николаевич","post":"МИНИСТР","disqualified":null},"founders":null,"managers":null,"predecessors":null,"successors":null,"branch_type":"MAIN","branch_count":0,"source":null,"qc":null,"hid":"c373e638a4c0a1be1715219941a691fb707b108665669efacffc172826507f1b","type":"LEGAL","state":{"status":"ACTIVE","code":null,"actuality_date":1533772800000,"registration_date":958521600000,"liquidation_date":null},"opf":{"type":"2014","code":"75104","full":"Федеральное государственное казенное учреждение","short":"ФГКУ"},"name":{"full_with_opf":"МИНИСТЕРСТВО СЕЛЬСКОГО ХОЗЯЙСТВА РОССИЙСКОЙ ФЕДЕРАЦИИ","short_with_opf":"МИНСЕЛЬХОЗ РОССИИ","latin":null,"full":"МИНИСТЕРСТВО СЕЛЬСКОГО ХОЗЯЙСТВА РОССИЙСКОЙ ФЕДЕРАЦИИ","short":"МИНСЕЛЬХОЗ РОССИИ"},"inn":"7708075454","ogrn":"1067760630684","okpo":"00029378","okato":"45286565000","oktmo":"45378000000","okogu":"1325000","okfs":"12","okved":"84.13","okveds":null,"authorities":null,"documents":null,"licenses":null,"finance":null,"address":{"value":"г Москва, Орликов пер, д 1/11","unrestricted_value":"107078, г Москва, Красносельский р-н, Орликов пер, д 1/11","data":{"postal_code":"107078","country":"Россия","country_iso_code":"RU","federal_district":"Центральный","region_fias_id":"0c5b2444-70a0-4932-980c-b4dc0d3f02b5","region_kladr_id":"7700000000000","region_iso_code":"RU-MOW","region_with_type":"г Москва","region_type":"г","region_type_full":"город","region":"Москва","area_fias_id":null,"area_kladr_id":null,"area_with_type":null,"area_type":null,"area_type_full":null,"area":null,"city_fias_id":"0c5b2444-70a0-4932-980c-b4dc0d3f02b5","city_kladr_id":"7700000000000","city_with_type":"г Москва","city_type":"г","city_type_full":"город","city":"Москва","city_area":"Центральный","city_district_fias_id":null,"city_district_kladr_id":null,"city_district_with_type":"Красносельский р-н","city_district_type":"р-н","city_district_type_full":"район","city_district":"Красносельский","settlement_fias_id":null,"settlement_kladr_id":null,"settlement_with_type":null,"settlement_type":null,"settlement_type_full":null,"settlement":null,"street_fias_id":"7fd490e7-387f-47d3-81a3-30654e2730a0","street_kladr_id":"77000000000067200","street_with_type":"Орликов пер","street_type":"пер","street_type_full":"переулок","street":"Орликов","stead_fias_id":null,"stead_cadnum":null,"stead_type":null,"stead_type_full":null,"stead":null,"house_fias_id":null,"house_kladr_id":null,"house_cadnum":null,"house_type":"д","house_type_full":"дом","house":"1/11","block_type":null,"block_type_full":null,"block":null,"entrance":null,"floor":null,"flat_fias_id":null,"flat_cadnum":null,"flat_type":null,"flat_type_full":null,"flat":null,"flat_area":null,"square_meter_price":null,"flat_price":null,"postal_box":null,"fias_id":"7fd490e7-387f-47d3-81a3-30654e2730a0","fias_code":"77000000000000006720000","fias_level":"7","fias_actuality_state":"0","kladr_id":"77000000000067200","geoname_id":"524901","capital_marker":"0","okato":"45286565000","oktmo":"45378000","tax_office":"7708","tax_office_legal":"7708","timezone":"UTC+3","geo_lat":"55.7706531","geo_lon":"37.6451798","beltway_hit":"IN_MKAD","beltway_distance":null,"metro":[{"name":"Красные ворота","line":"Сокольническая","distance":0.3},{"name":"Комсомольская","line":"Сокольническая","distance":0.7},{"name":"Каланчевская","line":"Курско-Рижский","distance":0.7}],"divisions":null,"qc_geo":"0","qc_complete":null,"qc_house":null,"history_values":null,"unparsed_parts":null,"source":"107139, ГОРОД МОСКВА, ПЕР. ОРЛИКОВ, Д.1/11","qc":"0"}},"phones":null,"emails":null,"ogrn_date":1165363200000,"okved_type":"2014","employee_count":null}}]}</t>
  </si>
  <si>
    <t>7710489036</t>
  </si>
  <si>
    <t>{"suggestions":[{"value":"ПРАВИТЕЛЬСТВО МОСКВЫ","unrestricted_value":"ПРАВИТЕЛЬСТВО МОСКВЫ","data":{"kpp":"771001001","capital":null,"management":{"name":"Собянин Сергей Семенович","post":"МЭР МОСКВЫ","disqualified":null},"founders":null,"managers":null,"predecessors":null,"successors":null,"branch_type":"MAIN","branch_count":0,"source":null,"qc":null,"hid":"1eb91a3287af32fdcecc024ae02c14f813df0252c0d8e4c749130fab7f7c5b2c","type":"LEGAL","state":{"status":"ACTIVE","code":null,"actuality_date":1523491200000,"registration_date":1014854400000,"liquidation_date":null},"opf":{"type":"2014","code":"75203","full":"Государственное бюджетное учреждение субъекта Российской Федерации","short":"ГБУ"},"name":{"full_with_opf":"ВЫСШИЙ ИСПОЛНИТЕЛЬНЫЙ ОРГАН ГОСУДАРСТВЕННОЙ ВЛАСТИ ГОРОДА МОСКВЫ-ПРАВИТЕЛЬСТВО МОСКВЫ","short_with_opf":"ПРАВИТЕЛЬСТВО МОСКВЫ","latin":null,"full":"ВЫСШИЙ ИСПОЛНИТЕЛЬНЫЙ ОРГАН ГОСУДАРСТВЕННОЙ ВЛАСТИ ГОРОДА МОСКВЫ-ПРАВИТЕЛЬСТВО МОСКВЫ","short":"ПРАВИТЕЛЬСТВО МОСКВЫ"},"inn":"7710489036","ogrn":"1027739813507","okpo":"00022020","okato":"45286585000","oktmo":"45382000000","okogu":"2300001","okfs":"13","okved":"84.11.21","okveds":null,"authorities":null,"documents":null,"licenses":null,"finance":null,"address":{"value":"г Москва, ул Тверская, д 13","unrestricted_value":"125032, г Москва, Тверской р-н, ул Тверская, д 13","data":{"postal_code":"125032","country":"Россия","country_iso_code":"RU","federal_district":"Центральный","region_fias_id":"0c5b2444-70a0-4932-980c-b4dc0d3f02b5","region_kladr_id":"7700000000000","region_iso_code":"RU-MOW","region_with_type":"г Москва","region_type":"г","region_type_full":"город","region":"Москва","area_fias_id":null,"area_kladr_id":null,"area_with_type":null,"area_type":null,"area_type_full":null,"area":null,"city_fias_id":"0c5b2444-70a0-4932-980c-b4dc0d3f02b5","city_kladr_id":"7700000000000","city_with_type":"г Москва","city_type":"г","city_type_full":"город","city":"Москва","city_area":"Центральный","city_district_fias_id":null,"city_district_kladr_id":null,"city_district_with_type":"Тверской р-н","city_district_type":"р-н","city_district_type_full":"район","city_district":"Тверской","settlement_fias_id":null,"settlement_kladr_id":null,"settlement_with_type":null,"settlement_type":null,"settlement_type_full":null,"settlement":null,"street_fias_id":"0ecde158-a58f-43af-9707-aa6dd3484b56","street_kladr_id":"77000000000287700","street_with_type":"ул Тверская","street_type":"ул","street_type_full":"улица","street":"Тверская","stead_fias_id":null,"stead_cadnum":null,"stead_type":null,"stead_type_full":null,"stead":null,"house_fias_id":"5032f91e-8da6-431d-8605-f9c0c9a00357","house_kladr_id":"7700000000028770009","house_cadnum":null,"house_type":"д","house_type_full":"дом","house":"13","block_type":null,"block_type_full":null,"block":null,"entrance":null,"floor":null,"flat_fias_id":null,"flat_cadnum":null,"flat_type":null,"flat_type_full":null,"flat":null,"flat_area":null,"square_meter_price":null,"flat_price":null,"postal_box":null,"fias_id":"5032f91e-8da6-431d-8605-f9c0c9a00357","fias_code":"77000000000000028770009","fias_level":"8","fias_actuality_state":"0","kladr_id":"7700000000028770009","geoname_id":"524901","capital_marker":"0","okato":"45286585000","oktmo":"45382000","tax_office":"7710","tax_office_legal":"7710","timezone":"UTC+3","geo_lat":"55.7611499","geo_lon":"37.6091698","beltway_hit":"IN_MKAD","beltway_distance":null,"metro":[{"name":"Чеховская","line":"Серпуховско-Тимирязевская","distance":0.5},{"name":"Тверская","line":"Замоскворецкая","distance":0.6},{"name":"Охотный ряд","line":"Сокольническая","distance":0.6}],"divisions":null,"qc_geo":"0","qc_complete":null,"qc_house":null,"history_values":null,"unparsed_parts":null,"source":"125032, ГОРОД МОСКВА, УЛ. ТВЕРСКАЯ, Д.13","qc":"0"}},"phones":null,"emails":null,"ogrn_date":1040169600000,"okved_type":"2014","employee_count":null}}]}</t>
  </si>
  <si>
    <t>Правительство Москвы</t>
  </si>
  <si>
    <t>НПИ Гипрозем</t>
  </si>
  <si>
    <t>{"suggestions":[{"value":"ООО НПИ \"ГИПРОЗЕМ\"","unrestricted_value":"ООО НПИ \"ГИПРОЗЕМ\"","data":{"kpp":"771301001","capital":null,"management":{"name":"Ломоносов Анатолий Николаевич","post":"Генеральный директор","disqualified":null},"founders":null,"managers":null,"predecessors":null,"successors":null,"branch_type":"MAIN","branch_count":0,"source":null,"qc":null,"hid":"a8a0401c4d8ae337b9955d1229587bd49c78d6460b3a2300353d992fb3b23c57","type":"LEGAL","state":{"status":"LIQUIDATED","code":"407","actuality_date":1457913600000,"registration_date":1100476800000,"liquidation_date":1457913600000},"opf":{"type":"2014","code":"12300","full":"Общество с ограниченной ответственностью","short":"ООО"},"name":{"full_with_opf":"ОБЩЕСТВО С ОГРАНИЧЕННОЙ ОТВЕТСТВЕННОСТЬЮ \"НАУЧНО-ПРОИЗВОДСТВЕННЫЙ ИНСТИТУТ ПО ЗЕМЛЕУСТРОЙСТВУ, ЗЕМЕЛЬНОМУ КАДАСТРУ И ТЕХНИЧЕСКОЙ ИНВЕНТАРИЗАЦИИ ОБЪЕКТОВ НЕДВИЖИМОСТИ\"","short_with_opf":"ООО НПИ \"ГИПРОЗЕМ\"","latin":null,"full":"НАУЧНО-ПРОИЗВОДСТВЕННЫЙ ИНСТИТУТ ПО ЗЕМЛЕУСТРОЙСТВУ, ЗЕМЕЛЬНОМУ КАДАСТРУ И ТЕХНИЧЕСКОЙ ИНВЕНТАРИЗАЦИИ ОБЪЕКТОВ НЕДВИЖИМОСТИ","short":"НПИ ГИПРОЗЕМ"},"inn":"7709577520","ogrn":"1047796868679","okpo":null,"okato":null,"oktmo":null,"okogu":null,"okfs":null,"okved":"74.20","okveds":null,"authorities":null,"documents":null,"licenses":null,"finance":null,"address":{"value":"г Москва, Дмитровское шоссе, д 25 к 1","unrestricted_value":"127434, г Москва, Тимирязевский р-н, Дмитровское шоссе, д 25 к 1","data":{"postal_code":"127434","country":"Россия","country_iso_code":"RU","federal_district":"Центральный","region_fias_id":"0c5b2444-70a0-4932-980c-b4dc0d3f02b5","region_kladr_id":"7700000000000","region_iso_code":"RU-MOW","region_with_type":"г Москва","region_type":"г","region_type_full":"город","region":"Москва","area_fias_id":null,"area_kladr_id":null,"area_with_type":null,"area_type":null,"area_type_full":null,"area":null,"city_fias_id":"0c5b2444-70a0-4932-980c-b4dc0d3f02b5","city_kladr_id":"7700000000000","city_with_type":"г Москва","city_type":"г","city_type_full":"город","city":"Москва","city_area":"Северный","city_district_fias_id":null,"city_district_kladr_id":null,"city_district_with_type":"Тимирязевский р-н","city_district_type":"р-н","city_district_type_full":"район","city_district":"Тимирязевский","settlement_fias_id":null,"settlement_kladr_id":null,"settlement_with_type":null,"settlement_type":null,"settlement_type_full":null,"settlement":null,"street_fias_id":"2202650e-00a5-4e05-b7dc-d2138a2d2468","street_kladr_id":"77000000000033500","street_with_type":"Дмитровское шоссе","street_type":"ш","street_type_full":"шоссе","street":"Дмитровское","stead_fias_id":null,"stead_cadnum":null,"stead_type":null,"stead_type_full":null,"stead":null,"house_fias_id":"5161baab-cefb-4e9d-b7f0-c3965a55ac40","house_kladr_id":"7700000000003350951","house_cadnum":null,"house_type":"д","house_type_full":"дом","house":"25","block_type":"к","block_type_full":"корпус","block":"1","entrance":null,"floor":null,"flat_fias_id":null,"flat_cadnum":null,"flat_type":null,"flat_type_full":null,"flat":null,"flat_area":null,"square_meter_price":"197573","flat_price":null,"postal_box":null,"fias_id":"5161baab-cefb-4e9d-b7f0-c3965a55ac40","fias_code":"77000000000000003350951","fias_level":"8","fias_actuality_state":"0","kladr_id":"7700000000003350951","geoname_id":"524901","capital_marker":"0","okato":"45277592000","oktmo":"45346000","tax_office":"7713","tax_office_legal":"7713","timezone":"UTC+3","geo_lat":"55.825108","geo_lon":"37.571228","beltway_hit":"IN_MKAD","beltway_distance":null,"metro":[{"name":"Тимирязевская","line":"Белорусско-Савеловский","distance":0.7},{"name":"Тимирязевская","line":"Серпуховско-Тимирязевская","distance":0.7},{"name":"Тимирязевская","line":"Монорельс","distance":0.8}],"divisions":null,"qc_geo":"0","qc_complete":null,"qc_house":null,"history_values":null,"unparsed_parts":null,"source":"127434, ГОРОД МОСКВА, Ш. ДМИТРОВСКОЕ, Д.25, К.1","qc":"0"}},"phones":null,"emails":null,"ogrn_date":1100476800000,"okved_type":"2001","employee_count":null}}]}</t>
  </si>
  <si>
    <t>ИП Сидоров</t>
  </si>
  <si>
    <t>{"suggestions":[{"value":"ИП Сидоров Адик","unrestricted_value":"ИП Сидоров Адик","data":{"citizenship":null,"fio":{"surname":"Сидоров","name":"Адик","patronymic":null,"gender":null,"source":null,"qc":null},"source":null,"qc":null,"hid":"ae1e5f58bb107fe292178ce8eebf97a633d0623173f7febb5c8ad17d13c66326","type":"INDIVIDUAL","state":{"status":"ACTIVE","code":null,"actuality_date":1648425600000,"registration_date":1503964800000,"liquidation_date":null},"opf":{"type":"2014","code":"50102","full":"Индивидуальный предприниматель","short":"ИП"},"name":{"full_with_opf":"Индивидуальный предприниматель Сидоров Адик","short_with_opf":"ИП Сидоров Адик","latin":null,"full":"Сидоров Адик","short":null},"inn":"502806330379","ogrn":"317502400048937","okpo":"0119750627","okato":"46415000483","oktmo":"46715000583","okogu":"4210015","okfs":"16","okved":"45.20","okveds":null,"authorities":null,"documents":null,"licenses":null,"finance":null,"address":{"value":"Московская обл, г Дмитров, село Озерецкое","unrestricted_value":"141895, Московская обл, г Дмитров, село Озерецкое","data":{"postal_code":"141895","country":"Россия","country_iso_code":"RU","federal_district":"Центральный","region_fias_id":"29251dcf-00a1-4e34-98d4-5c47484a36d4","region_kladr_id":"5000000000000","region_iso_code":"RU-MOS","region_with_type":"Московская обл","region_type":"обл","region_type_full":"область","region":"Московская","area_fias_id":"0d8a246f-6446-403e-91c6-3aec9cdbfc32","area_kladr_id":"5004500000000","area_with_type":"г Дмитров","area_type":"г","area_type_full":"город","area":"Дмитров","city_fias_id":"0d8a246f-6446-403e-91c6-3aec9cdbfc32","city_kladr_id":"5004500000000","city_with_type":"г Дмитров","city_type":"г","city_type_full":"город","city":"Дмитров","city_area":null,"city_district_fias_id":null,"city_district_kladr_id":null,"city_district_with_type":null,"city_district_type":null,"city_district_type_full":null,"city_district":null,"settlement_fias_id":"b471c540-db5c-44c9-8c59-99d2b2ff8e4b","settlement_kladr_id":"5004500072600","settlement_with_type":"село Озерецкое","settlement_type":"с","settlement_type_full":"село","settlement":"Озерецкое","street_fias_id":null,"street_kladr_id":null,"street_with_type":null,"street_type":null,"street_type_full":null,"street":null,"stead_fias_id":null,"stead_cadnum":null,"stead_type":null,"stead_type_full":null,"stead":null,"house_fias_id":null,"house_kladr_id":null,"house_cadnum":null,"house_type":null,"house_type_full":null,"house":null,"block_type":null,"block_type_full":null,"block":null,"entrance":null,"floor":null,"flat_fias_id":null,"flat_cadnum":null,"flat_type":null,"flat_type_full":null,"flat":null,"flat_area":null,"square_meter_price":null,"flat_price":null,"postal_box":null,"fias_id":"b471c540-db5c-44c9-8c59-99d2b2ff8e4b","fias_code":"50045000726000000000000","fias_level":"6","fias_actuality_state":"0","kladr_id":"5004500072600","geoname_id":"524925","capital_marker":"0","okato":"46415000483","oktmo":"46715000583","tax_office":"5007","tax_office_legal":"5007","timezone":"UTC+3","geo_lat":"56.0903249","geo_lon":"37.3349803","beltway_hit":"OUT_MKAD","beltway_distance":"24","metro":null,"divisions":null,"qc_geo":"3","qc_complete":null,"qc_house":null,"history_values":null,"unparsed_parts":null,"source":"ОБЛАСТЬ МОСКОВСКАЯ, ГОРОД ДМИТРОВ, СЕЛО ОЗЕРЕЦКОЕ","qc":"0"}},"phones":null,"emails":null,"ogrn_date":1503964800000,"okved_type":"2014","employee_count":null}}]}</t>
  </si>
  <si>
    <t>Сидоров Адик</t>
  </si>
  <si>
    <t>ИП Сидоров Адик</t>
  </si>
  <si>
    <t>Индивидуальный предприниматель Сидоров Адик</t>
  </si>
  <si>
    <t>317502400048937</t>
  </si>
  <si>
    <t>502806330379</t>
  </si>
  <si>
    <t>45.20</t>
  </si>
  <si>
    <t>Московская обл, г Дмитров, село Озерецкое</t>
  </si>
  <si>
    <t>141895, Московская обл, г Дмитров, село Озерецкое</t>
  </si>
  <si>
    <t>ОБЛАСТЬ МОСКОВСКАЯ, ГОРОД ДМИТРОВ, СЕЛО ОЗЕРЕЦКОЕ</t>
  </si>
  <si>
    <t>ПАО «Газпром»</t>
  </si>
  <si>
    <t>Публичное акционерное общество «Газпром»</t>
  </si>
  <si>
    <t>1027700070518</t>
  </si>
  <si>
    <t>7736050003</t>
  </si>
  <si>
    <t>781401001</t>
  </si>
  <si>
    <t>46.71</t>
  </si>
  <si>
    <t>г Санкт-Петербург, Лахтинский пр-кт, д 2 к 3 стр 1</t>
  </si>
  <si>
    <t>197229, г Санкт-Петербург, Приморский р-н, Лахтинский пр-кт, д 2 к 3 стр 1</t>
  </si>
  <si>
    <t>197229, Г.Санкт-Петербург, ВН.ТЕР.Г. МУНИЦИПАЛЬНЫЙ ОКРУГ ЛАХТА-ОЛЬГИНО, ПР-КТ ЛАХТИНСКИЙ, Д. 2, К. 3, СТР. 1</t>
  </si>
  <si>
    <t>Председатель правления</t>
  </si>
  <si>
    <t>Миллер Алексей Борисович</t>
  </si>
  <si>
    <t>МИНСЕЛЬХОЗ РОССИИ</t>
  </si>
  <si>
    <t>МИНИСТЕРСТВО СЕЛЬСКОГО ХОЗЯЙСТВА РОССИЙСКОЙ ФЕДЕРАЦИИ</t>
  </si>
  <si>
    <t>ФГКУ</t>
  </si>
  <si>
    <t>Федеральное государственное казенное учреждение</t>
  </si>
  <si>
    <t>1067760630684</t>
  </si>
  <si>
    <t>7708075454</t>
  </si>
  <si>
    <t>84.13</t>
  </si>
  <si>
    <t>г Москва, Орликов пер, д 1/11</t>
  </si>
  <si>
    <t>107078, г Москва, Красносельский р-н, Орликов пер, д 1/11</t>
  </si>
  <si>
    <t>107139, ГОРОД МОСКВА, ПЕР. ОРЛИКОВ, Д.1/11</t>
  </si>
  <si>
    <t>Министр</t>
  </si>
  <si>
    <t>Патрушев Дмитрий Николаевич</t>
  </si>
  <si>
    <t>НПИ ГИПРОЗЕМ</t>
  </si>
  <si>
    <t>НАУЧНО-ПРОИЗВОДСТВЕННЫЙ ИНСТИТУТ ПО ЗЕМЛЕУСТРОЙСТВУ, ЗЕМЕЛЬНОМУ КАДАСТРУ И ТЕХНИЧЕСКОЙ ИНВЕНТАРИЗАЦИИ ОБЪЕКТОВ НЕДВИЖИМОСТИ</t>
  </si>
  <si>
    <t>ООО НПИ «ГИПРОЗЕМ»</t>
  </si>
  <si>
    <t>Общество с ограниченной ответственностью «НАУЧНО-ПРОИЗВОДСТВЕННЫЙ ИНСТИТУТ ПО ЗЕМЛЕУСТРОЙСТВУ, ЗЕМЕЛЬНОМУ КАДАСТРУ И ТЕХНИЧЕСКОЙ ИНВЕНТАРИЗАЦИИ ОБЪЕКТОВ НЕДВИЖИМОСТИ»</t>
  </si>
  <si>
    <t>1047796868679</t>
  </si>
  <si>
    <t>7709577520</t>
  </si>
  <si>
    <t>771301001</t>
  </si>
  <si>
    <t>74.20</t>
  </si>
  <si>
    <t>г Москва, Дмитровское шоссе, д 25 к 1</t>
  </si>
  <si>
    <t>127434, г Москва, Тимирязевский р-н, Дмитровское шоссе, д 25 к 1</t>
  </si>
  <si>
    <t>127434, ГОРОД МОСКВА, Ш. ДМИТРОВСКОЕ, Д.25, К.1</t>
  </si>
  <si>
    <t>Ломоносов Анатолий Николаевич</t>
  </si>
  <si>
    <t>Ликвидированная</t>
  </si>
  <si>
    <t>ВЫСШИЙ ИСПОЛНИТЕЛЬНЫЙ ОРГАН ГОСУДАРСТВЕННОЙ ВЛАСТИ ГОРОДА МОСКВЫ-ПРАВИТЕЛЬСТВО МОСКВЫ</t>
  </si>
  <si>
    <t>ГБУ</t>
  </si>
  <si>
    <t>Государственное бюджетное учреждение субъекта Российской Федерации</t>
  </si>
  <si>
    <t>1027739813507</t>
  </si>
  <si>
    <t>771001001</t>
  </si>
  <si>
    <t>84.11.21</t>
  </si>
  <si>
    <t>г Москва, ул Тверская, д 13</t>
  </si>
  <si>
    <t>125032, г Москва, Тверской р-н, ул Тверская, д 13</t>
  </si>
  <si>
    <t>125032, ГОРОД МОСКВА, УЛ. ТВЕРСКАЯ, Д.13</t>
  </si>
  <si>
    <t>Мэр москвы</t>
  </si>
  <si>
    <t>Собянин Сергей Семенович</t>
  </si>
  <si>
    <t>СБЕРБАНК</t>
  </si>
  <si>
    <t>СБЕРБАНК РОССИИ</t>
  </si>
  <si>
    <t>ПАО СБЕРБАНК</t>
  </si>
  <si>
    <t>Публичное акционерное общество «СБЕРБАНК РОССИИ»</t>
  </si>
  <si>
    <t>1027700132195</t>
  </si>
  <si>
    <t>7707083893</t>
  </si>
  <si>
    <t>64.19</t>
  </si>
  <si>
    <t>г Москва, ул Вавилова, д 19</t>
  </si>
  <si>
    <t>117312, г Москва, Академический р-н, ул Вавилова, д 19</t>
  </si>
  <si>
    <t>117312, ГОРОД МОСКВА, УЛ. ВАВИЛОВА, Д.19</t>
  </si>
  <si>
    <t>Греф Герман Оскарович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</si>
</sst>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13" x14ac:knownFonts="1">
    <font>
      <sz val="10"/>
      <color theme="1"/>
      <name val="Times New Roman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2"/>
    </font>
    <font>
      <b/>
      <sz val="11"/>
      <color theme="4" tint="-0.249977111117893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sz val="11"/>
      <color theme="4" tint="-0.249977111117893"/>
      <name val="Calibri"/>
      <scheme val="minor"/>
    </font>
    <font>
      <sz val="10"/>
      <color theme="0" tint="-0.34998626667073579"/>
      <name val="Times New Roman"/>
    </font>
    <font>
      <sz val="10"/>
      <color theme="1"/>
      <name val="Times New Roman"/>
    </font>
    <font>
      <sz val="10"/>
      <name val="Times New Roman"/>
    </font>
    <font>
      <sz val="10"/>
      <name val="Times New Roman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theme="4"/>
      </bottom>
      <diagonal/>
    </border>
  </borders>
  <cellStyleXfs count="3">
    <xf numFmtId="0" fontId="0" fillId="0" borderId="0"/>
    <xf numFmtId="0" fontId="4" fillId="0" borderId="0"/>
    <xf numFmtId="0" fontId="1" fillId="0" borderId="0"/>
  </cellStyleXfs>
  <cellXfs count="44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0" fillId="0" borderId="0" xfId="0" applyNumberFormat="1" applyProtection="1">
      <protection locked="0"/>
    </xf>
    <xf numFmtId="0" fontId="0" fillId="0" borderId="0" xfId="0" applyAlignment="1">
      <alignment wrapText="1"/>
    </xf>
    <xf numFmtId="49" fontId="0" fillId="0" borderId="8" xfId="0" applyNumberFormat="1" applyBorder="1" applyAlignment="1" applyProtection="1">
      <alignment horizontal="center" vertical="center" wrapText="1"/>
      <protection locked="0"/>
    </xf>
    <xf numFmtId="49" fontId="0" fillId="0" borderId="0" xfId="0" applyNumberFormat="1" applyAlignment="1">
      <alignment wrapText="1"/>
    </xf>
    <xf numFmtId="0" fontId="5" fillId="0" borderId="5" xfId="0" applyFont="1" applyBorder="1" applyAlignment="1">
      <alignment horizontal="center" vertical="center" wrapText="1"/>
    </xf>
    <xf numFmtId="0" fontId="2" fillId="0" borderId="0" xfId="0" applyFont="1"/>
    <xf numFmtId="0" fontId="0" fillId="0" borderId="0" xfId="0" applyNumberFormat="1"/>
    <xf numFmtId="14" fontId="0" fillId="0" borderId="0" xfId="0" applyNumberFormat="1"/>
    <xf numFmtId="49" fontId="0" fillId="0" borderId="1" xfId="0" applyNumberFormat="1" applyBorder="1" applyAlignment="1" applyProtection="1">
      <alignment horizontal="center" vertical="center" wrapText="1"/>
      <protection locked="0"/>
    </xf>
    <xf numFmtId="0" fontId="6" fillId="0" borderId="10" xfId="2" applyFont="1" applyBorder="1"/>
    <xf numFmtId="0" fontId="7" fillId="0" borderId="0" xfId="2" applyFont="1"/>
    <xf numFmtId="0" fontId="8" fillId="0" borderId="0" xfId="0" applyNumberFormat="1" applyFont="1" applyFill="1" applyAlignment="1"/>
    <xf numFmtId="0" fontId="9" fillId="0" borderId="2" xfId="0" applyNumberFormat="1" applyFont="1" applyBorder="1" applyAlignment="1">
      <alignment horizontal="center" vertical="center" wrapText="1"/>
    </xf>
    <xf numFmtId="0" fontId="9" fillId="0" borderId="3" xfId="0" applyFont="1" applyBorder="1" applyAlignment="1" applyProtection="1">
      <alignment horizontal="center" vertical="center"/>
      <protection locked="0"/>
    </xf>
    <xf numFmtId="0" fontId="9" fillId="0" borderId="1" xfId="0" applyNumberFormat="1" applyFont="1" applyBorder="1" applyAlignment="1">
      <alignment horizontal="center" vertical="center" wrapText="1"/>
    </xf>
    <xf numFmtId="0" fontId="9" fillId="0" borderId="8" xfId="0" applyNumberFormat="1" applyFont="1" applyBorder="1" applyAlignment="1">
      <alignment horizontal="center" vertical="center" wrapText="1"/>
    </xf>
    <xf numFmtId="0" fontId="10" fillId="0" borderId="8" xfId="0" applyNumberFormat="1" applyFont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14" fontId="9" fillId="0" borderId="1" xfId="0" applyNumberFormat="1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4" fontId="9" fillId="0" borderId="1" xfId="0" applyNumberFormat="1" applyFont="1" applyBorder="1" applyAlignment="1">
      <alignment horizontal="center" vertical="center" wrapText="1"/>
    </xf>
    <xf numFmtId="164" fontId="9" fillId="0" borderId="8" xfId="0" applyNumberFormat="1" applyFont="1" applyBorder="1" applyAlignment="1">
      <alignment horizontal="center" vertical="center" wrapText="1"/>
    </xf>
    <xf numFmtId="164" fontId="11" fillId="0" borderId="8" xfId="0" applyNumberFormat="1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 wrapText="1"/>
    </xf>
    <xf numFmtId="0" fontId="5" fillId="0" borderId="8" xfId="0" applyNumberFormat="1" applyFont="1" applyBorder="1" applyAlignment="1">
      <alignment horizontal="center" vertical="center" wrapText="1"/>
    </xf>
    <xf numFmtId="0" fontId="12" fillId="0" borderId="1" xfId="0" applyNumberFormat="1" applyFont="1" applyBorder="1" applyAlignment="1">
      <alignment horizontal="center" vertical="center" wrapText="1"/>
    </xf>
    <xf numFmtId="0" fontId="9" fillId="0" borderId="7" xfId="0" applyNumberFormat="1" applyFont="1" applyBorder="1" applyAlignment="1">
      <alignment horizontal="center" vertical="center" wrapText="1"/>
    </xf>
    <xf numFmtId="0" fontId="9" fillId="0" borderId="9" xfId="0" applyFont="1" applyBorder="1" applyAlignment="1" applyProtection="1">
      <alignment horizontal="center" vertical="center"/>
      <protection locked="0"/>
    </xf>
    <xf numFmtId="0" fontId="11" fillId="0" borderId="8" xfId="0" applyNumberFormat="1" applyFont="1" applyBorder="1" applyAlignment="1">
      <alignment horizontal="center" vertical="center" wrapText="1"/>
    </xf>
    <xf numFmtId="1" fontId="9" fillId="0" borderId="8" xfId="0" applyNumberFormat="1" applyFont="1" applyBorder="1" applyAlignment="1">
      <alignment horizontal="center" vertical="center" wrapText="1"/>
    </xf>
    <xf numFmtId="14" fontId="9" fillId="0" borderId="8" xfId="0" applyNumberFormat="1" applyFont="1" applyBorder="1" applyAlignment="1">
      <alignment horizontal="center" vertical="center" wrapText="1"/>
    </xf>
    <xf numFmtId="49" fontId="9" fillId="0" borderId="8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</cellXfs>
  <cellStyles count="3">
    <cellStyle name="Обычный" xfId="0" builtinId="0"/>
    <cellStyle name="Обычный 2" xfId="1" xr:uid="{00000000-0005-0000-0000-000001000000}"/>
    <cellStyle name="Обычный 2 2" xfId="2" xr:uid="{00000000-0005-0000-0000-000002000000}"/>
  </cellStyles>
  <dxfs count="8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5" tint="-0.24994659260841701"/>
      </font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4" formatCode="0000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164" formatCode="0000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164" formatCode="0000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00000000-0016-0000-0300-000000000000}" autoFormatId="16" applyNumberFormats="0" applyBorderFormats="0" applyFontFormats="0" applyPatternFormats="0" applyAlignmentFormats="0" applyWidthHeightFormats="0">
  <queryTableRefresh nextId="28">
    <queryTableFields count="23">
      <queryTableField id="26" name="Отображение" tableColumnId="1"/>
      <queryTableField id="2" name="Название краткое" tableColumnId="2"/>
      <queryTableField id="3" name="Название полное" tableColumnId="3"/>
      <queryTableField id="4" name="Наименование краткое" tableColumnId="4"/>
      <queryTableField id="5" name="Наименование полное" tableColumnId="5"/>
      <queryTableField id="6" name="ОПФ краткое" tableColumnId="6"/>
      <queryTableField id="8" name="ОПФ полное" tableColumnId="8"/>
      <queryTableField id="10" name="ОГРН" tableColumnId="10"/>
      <queryTableField id="11" name="Дата ОГРН" tableColumnId="11"/>
      <queryTableField id="12" name="ИНН" tableColumnId="12"/>
      <queryTableField id="13" name="КПП" tableColumnId="13"/>
      <queryTableField id="14" name="ОКВЭД" tableColumnId="14"/>
      <queryTableField id="15" name="ОКВЭД версия" tableColumnId="15"/>
      <queryTableField id="16" name="Число филиалов" tableColumnId="16"/>
      <queryTableField id="17" name="Тип подразделения" tableColumnId="17"/>
      <queryTableField id="18" name="Индекс" tableColumnId="18"/>
      <queryTableField id="19" name="Адрес" tableColumnId="19"/>
      <queryTableField id="20" name="Полный адрес" tableColumnId="20"/>
      <queryTableField id="21" name="Адрес из ЕГРЮЛ(исходный)" tableColumnId="21"/>
      <queryTableField id="22" name="Точность распознования адреса" tableColumnId="22"/>
      <queryTableField id="23" name="Должность руководителя" tableColumnId="23"/>
      <queryTableField id="24" name="Руководитель" tableColumnId="24"/>
      <queryTableField id="25" name="Статус" tableColumnId="25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Егрюл" displayName="Егрюл" ref="A1:AW8" totalsRowShown="0" headerRowDxfId="84" dataDxfId="82" headerRowBorderDxfId="83" tableBorderDxfId="81" totalsRowBorderDxfId="80">
  <autoFilter ref="A1:AW8" xr:uid="{00000000-0009-0000-0100-000001000000}"/>
  <sortState xmlns:xlrd2="http://schemas.microsoft.com/office/spreadsheetml/2017/richdata2" ref="A2:AW2">
    <sortCondition ref="A1:A2"/>
  </sortState>
  <tableColumns count="49">
    <tableColumn id="1" xr3:uid="{00000000-0010-0000-0000-000001000000}" name="Отображение" dataDxfId="79">
      <calculatedColumnFormula>Егрюл[[#This Row],[Название краткое]]</calculatedColumnFormula>
    </tableColumn>
    <tableColumn id="2" xr3:uid="{00000000-0010-0000-0000-000002000000}" name="Строка поиска" dataDxfId="78"/>
    <tableColumn id="25" xr3:uid="{00000000-0010-0000-0000-000019000000}" name="JSON Исходник" dataDxfId="77"/>
    <tableColumn id="3" xr3:uid="{00000000-0010-0000-0000-000003000000}" name="Название краткое" dataDxfId="76">
      <calculatedColumnFormula>IF(Егрюл[[#This Row],[my_Название краткое]]&lt;&gt;"",Егрюл[[#This Row],[my_Название краткое]],IF(Егрюл[[#This Row],[Название краткое.Json]]&lt;&gt;"",Егрюл[[#This Row],[Название краткое.Json]],ФИО(Егрюл[[#This Row],[Название полное]])))</calculatedColumnFormula>
    </tableColumn>
    <tableColumn id="33" xr3:uid="{00000000-0010-0000-0000-000021000000}" name="Название краткое.Json" dataDxfId="75">
      <calculatedColumnFormula>РазобратьJson(Егрюл[[#This Row],[JSON Исходник]],"suggestions",1,"data","name","short")</calculatedColumnFormula>
    </tableColumn>
    <tableColumn id="26" xr3:uid="{00000000-0010-0000-0000-00001A000000}" name="my_Название краткое" dataDxfId="74"/>
    <tableColumn id="4" xr3:uid="{00000000-0010-0000-0000-000004000000}" name="Название полное" dataDxfId="73">
      <calculatedColumnFormula>IF(Егрюл[[#This Row],[my_Название полное]]&lt;&gt;"",Егрюл[[#This Row],[my_Название полное]],SUBSTITUTE(Егрюл[[#This Row],[Название полное.Json]],UPPER(Егрюл[[#This Row],[ОПФ полное]]),Егрюл[[#This Row],[ОПФ полное]]))</calculatedColumnFormula>
    </tableColumn>
    <tableColumn id="34" xr3:uid="{00000000-0010-0000-0000-000022000000}" name="Название полное.Json" dataDxfId="72">
      <calculatedColumnFormula>РазобратьJson(Егрюл[[#This Row],[JSON Исходник]],"suggestions",1,"data","name","full")</calculatedColumnFormula>
    </tableColumn>
    <tableColumn id="27" xr3:uid="{00000000-0010-0000-0000-00001B000000}" name="my_Название полное" dataDxfId="71"/>
    <tableColumn id="5" xr3:uid="{00000000-0010-0000-0000-000005000000}" name="Наименование краткое" dataDxfId="70">
      <calculatedColumnFormula>IF(Егрюл[[#This Row],[my_Наименование краткое]]&lt;&gt;"",Егрюл[[#This Row],[my_Наименование краткое]],TRIM(
 SUBSTITUTE(
  SUBSTITUTE(
    " "&amp;
SUBSTITUTE(Егрюл[[#This Row],[Наименование краткое.Json]],IF(Егрюл[[#This Row],[Название краткое.Json]]&lt;&gt;"",Егрюл[[#This Row],[Название краткое.Json]],Егрюл[[#This Row],[Название полное]]),Егрюл[[#This Row],[Название краткое]])
&amp;" ",
    " """,
    " «"),
 """ ",
 "» ")))</calculatedColumnFormula>
    </tableColumn>
    <tableColumn id="35" xr3:uid="{00000000-0010-0000-0000-000023000000}" name="Наименование краткое.Json" dataDxfId="69">
      <calculatedColumnFormula>РазобратьJson(Егрюл[[#This Row],[JSON Исходник]],"suggestions",1,"value")</calculatedColumnFormula>
    </tableColumn>
    <tableColumn id="31" xr3:uid="{00000000-0010-0000-0000-00001F000000}" name="my_Наименование краткое" dataDxfId="68"/>
    <tableColumn id="6" xr3:uid="{00000000-0010-0000-0000-000006000000}" name="Наименование полное" dataDxfId="67">
      <calculatedColumnFormula>IF(Егрюл[[#This Row],[my_Наименование полное]]&lt;&gt;"",Егрюл[[#This Row],[my_Наименование полное]],TRIM(
 SUBSTITUTE(
  SUBSTITUTE(
    " "&amp;SUBSTITUTE(
      SUBSTITUTE(
        Егрюл[[#This Row],[Наименование полное.Json]],
         UPPER(Егрюл[[#This Row],[ОПФ полное]]),
         Егрюл[[#This Row],[ОПФ полное]]),
       Егрюл[[#This Row],[Название полное.Json]],
       Егрюл[[#This Row],[Название полное]])
    &amp;" ",
    " """,
    " «"),
 """ ",
 "» ")))</calculatedColumnFormula>
    </tableColumn>
    <tableColumn id="36" xr3:uid="{00000000-0010-0000-0000-000024000000}" name="Наименование полное.Json" dataDxfId="66">
      <calculatedColumnFormula xml:space="preserve"> РазобратьJson(Егрюл[[#This Row],[JSON Исходник]],"suggestions",1,"data","name","full_with_opf")</calculatedColumnFormula>
    </tableColumn>
    <tableColumn id="32" xr3:uid="{00000000-0010-0000-0000-000020000000}" name="my_Наименование полное" dataDxfId="65"/>
    <tableColumn id="7" xr3:uid="{00000000-0010-0000-0000-000007000000}" name="ОПФ краткое" dataDxfId="64">
      <calculatedColumnFormula>IF(Егрюл[[#This Row],[my_ОПФ]]&lt;&gt;"",Егрюл[[#This Row],[my_ОПФ]],IF(Егрюл[[#This Row],[ОПФ краткое.Json]]&lt;&gt;0,Егрюл[[#This Row],[ОПФ краткое.Json]],""))</calculatedColumnFormula>
    </tableColumn>
    <tableColumn id="37" xr3:uid="{00000000-0010-0000-0000-000025000000}" name="ОПФ краткое.Json" dataDxfId="63">
      <calculatedColumnFormula>РазобратьJson(Егрюл[[#This Row],[JSON Исходник]],"suggestions",1,"data","opf","short")</calculatedColumnFormula>
    </tableColumn>
    <tableColumn id="48" xr3:uid="{00000000-0010-0000-0000-000030000000}" name="my_ОПФ" dataDxfId="62"/>
    <tableColumn id="8" xr3:uid="{00000000-0010-0000-0000-000008000000}" name="ОПФ полное" dataDxfId="61">
      <calculatedColumnFormula>IF(Егрюл[[#This Row],[my_ОПФ полное]]&lt;&gt;"",Егрюл[[#This Row],[my_ОПФ полное]],IF(Егрюл[[#This Row],[ОПФ полное.Json]]&lt;&gt;0,Егрюл[[#This Row],[ОПФ полное.Json]],""))</calculatedColumnFormula>
    </tableColumn>
    <tableColumn id="38" xr3:uid="{00000000-0010-0000-0000-000026000000}" name="ОПФ полное.Json" dataDxfId="60">
      <calculatedColumnFormula>РазобратьJson(Егрюл[[#This Row],[JSON Исходник]],"suggestions",1,"data","opf","full")</calculatedColumnFormula>
    </tableColumn>
    <tableColumn id="49" xr3:uid="{00000000-0010-0000-0000-000031000000}" name="my_ОПФ полное" dataDxfId="59"/>
    <tableColumn id="9" xr3:uid="{00000000-0010-0000-0000-000009000000}" name="ОГРН" dataDxfId="58">
      <calculatedColumnFormula>РазобратьJson(Егрюл[[#This Row],[JSON Исходник]],"suggestions",1,"data","ogrn")</calculatedColumnFormula>
    </tableColumn>
    <tableColumn id="10" xr3:uid="{00000000-0010-0000-0000-00000A000000}" name="Дата ОГРН" dataDxfId="57">
      <calculatedColumnFormula>IF(Егрюл[[#This Row],[Дата ОГРН2.Json]]&lt;&gt;"",DATE(1970,1,1)+Егрюл[[#This Row],[Дата ОГРН2.Json]]/1000/60/60/24,"")</calculatedColumnFormula>
    </tableColumn>
    <tableColumn id="39" xr3:uid="{00000000-0010-0000-0000-000027000000}" name="Дата ОГРН2.Json" dataDxfId="56">
      <calculatedColumnFormula>РазобратьJson(Егрюл[[#This Row],[JSON Исходник]],"suggestions",1,"data","ogrn_date")</calculatedColumnFormula>
    </tableColumn>
    <tableColumn id="11" xr3:uid="{00000000-0010-0000-0000-00000B000000}" name="ИНН" dataDxfId="55">
      <calculatedColumnFormula>РазобратьJson(Егрюл[[#This Row],[JSON Исходник]],"suggestions",1,"data","inn")</calculatedColumnFormula>
    </tableColumn>
    <tableColumn id="12" xr3:uid="{00000000-0010-0000-0000-00000C000000}" name="КПП" dataDxfId="54">
      <calculatedColumnFormula>IF(Егрюл[[#This Row],[КПП.json]]&lt;&gt;"",Егрюл[[#This Row],[КПП.json]],"")</calculatedColumnFormula>
    </tableColumn>
    <tableColumn id="43" xr3:uid="{00000000-0010-0000-0000-00002B000000}" name="КПП.json" dataDxfId="53">
      <calculatedColumnFormula>РазобратьJson(Егрюл[[#This Row],[JSON Исходник]],"suggestions",1,"data","kpp")</calculatedColumnFormula>
    </tableColumn>
    <tableColumn id="13" xr3:uid="{00000000-0010-0000-0000-00000D000000}" name="ОКВЭД" dataDxfId="52">
      <calculatedColumnFormula>РазобратьJson(Егрюл[[#This Row],[JSON Исходник]],"suggestions",1,"data","okved")</calculatedColumnFormula>
    </tableColumn>
    <tableColumn id="14" xr3:uid="{00000000-0010-0000-0000-00000E000000}" name="ОКВЭД версия" dataDxfId="51">
      <calculatedColumnFormula>РазобратьJson(Егрюл[[#This Row],[JSON Исходник]],"suggestions",1,"data","okved_type")</calculatedColumnFormula>
    </tableColumn>
    <tableColumn id="15" xr3:uid="{00000000-0010-0000-0000-00000F000000}" name="Число филиалов" dataDxfId="50">
      <calculatedColumnFormula>IF(Егрюл[[#This Row],[Число филиалов.Json]]&lt;&gt;"",Егрюл[[#This Row],[Число филиалов.Json]],"")</calculatedColumnFormula>
    </tableColumn>
    <tableColumn id="44" xr3:uid="{00000000-0010-0000-0000-00002C000000}" name="Число филиалов.Json" dataDxfId="49">
      <calculatedColumnFormula>РазобратьJson(Егрюл[[#This Row],[JSON Исходник]],"suggestions",1,"data","branch_count")</calculatedColumnFormula>
    </tableColumn>
    <tableColumn id="16" xr3:uid="{00000000-0010-0000-0000-000010000000}" name="Тип подразделения" dataDxfId="48">
      <calculatedColumnFormula>IF(Егрюл[[#This Row],[Тип подразделения.Json]]&lt;&gt;"",IF(Егрюл[[#This Row],[Тип подразделения.Json]]="MAIN","Головная организация","Филиал"),"")</calculatedColumnFormula>
    </tableColumn>
    <tableColumn id="45" xr3:uid="{00000000-0010-0000-0000-00002D000000}" name="Тип подразделения.Json" dataDxfId="47">
      <calculatedColumnFormula>РазобратьJson(Егрюл[[#This Row],[JSON Исходник]],"suggestions",1,"data","branch_type")</calculatedColumnFormula>
    </tableColumn>
    <tableColumn id="17" xr3:uid="{00000000-0010-0000-0000-000011000000}" name="Индекс" dataDxfId="46">
      <calculatedColumnFormula>IF(Егрюл[[#This Row],[my_Индекс]]&lt;&gt;"",Егрюл[[#This Row],[my_Индекс]],Егрюл[[#This Row],[Индекс.Json]])</calculatedColumnFormula>
    </tableColumn>
    <tableColumn id="40" xr3:uid="{00000000-0010-0000-0000-000028000000}" name="Индекс.Json" dataDxfId="45">
      <calculatedColumnFormula>РазобратьJson(Егрюл[[#This Row],[JSON Исходник]],"suggestions",1,"data","address","data","postal_code")</calculatedColumnFormula>
    </tableColumn>
    <tableColumn id="28" xr3:uid="{00000000-0010-0000-0000-00001C000000}" name="my_Индекс" dataDxfId="44"/>
    <tableColumn id="18" xr3:uid="{00000000-0010-0000-0000-000012000000}" name="Адрес" dataDxfId="43">
      <calculatedColumnFormula>IF(Егрюл[[#This Row],[my_Адрес]]&lt;&gt;"",Егрюл[[#This Row],[my_Адрес]],Егрюл[[#This Row],[Адрес.Json]])</calculatedColumnFormula>
    </tableColumn>
    <tableColumn id="41" xr3:uid="{00000000-0010-0000-0000-000029000000}" name="Адрес.Json" dataDxfId="42">
      <calculatedColumnFormula>РазобратьJson(Егрюл[[#This Row],[JSON Исходник]],"suggestions",1,"data","address","value")</calculatedColumnFormula>
    </tableColumn>
    <tableColumn id="29" xr3:uid="{00000000-0010-0000-0000-00001D000000}" name="my_Адрес" dataDxfId="41"/>
    <tableColumn id="19" xr3:uid="{00000000-0010-0000-0000-000013000000}" name="Полный адрес" dataDxfId="40">
      <calculatedColumnFormula>РазобратьJson(Егрюл[[#This Row],[JSON Исходник]],"suggestions",1,"data","address","unrestricted_value")</calculatedColumnFormula>
    </tableColumn>
    <tableColumn id="20" xr3:uid="{00000000-0010-0000-0000-000014000000}" name="Адрес из ЕГРЮЛ(исходный)" dataDxfId="39">
      <calculatedColumnFormula>РазобратьJson(Егрюл[[#This Row],[JSON Исходник]],"suggestions",1,"data","address","data","source")</calculatedColumnFormula>
    </tableColumn>
    <tableColumn id="21" xr3:uid="{00000000-0010-0000-0000-000015000000}" name="Точность распознования адреса" dataDxfId="38">
      <calculatedColumnFormula>IF(РазобратьJson(Егрюл[[#This Row],[JSON Исходник]],"suggestions",1,"data","address","data","qc")="0","Распознан","Надо проверить")</calculatedColumnFormula>
    </tableColumn>
    <tableColumn id="22" xr3:uid="{00000000-0010-0000-0000-000016000000}" name="Должность руководителя" dataDxfId="37">
      <calculatedColumnFormula>IF(Егрюл[[#This Row],[my_Должность руководителя]]&lt;&gt;"",Егрюл[[#This Row],[my_Должность руководителя]],
IF(Егрюл[[#This Row],[Должность руководителя.Json]]&lt;&gt;"",
REPLACE(LOWER(Егрюл[[#This Row],[Должность руководителя.Json]]),1,1,UPPER(MID(Егрюл[[#This Row],[Должность руководителя.Json]],1,1))),
""))</calculatedColumnFormula>
    </tableColumn>
    <tableColumn id="42" xr3:uid="{00000000-0010-0000-0000-00002A000000}" name="Должность руководителя.Json" dataDxfId="36">
      <calculatedColumnFormula>РазобратьJson(Егрюл[[#This Row],[JSON Исходник]],"suggestions",1,"data","management","post")</calculatedColumnFormula>
    </tableColumn>
    <tableColumn id="30" xr3:uid="{00000000-0010-0000-0000-00001E000000}" name="my_Должность руководителя" dataDxfId="35"/>
    <tableColumn id="23" xr3:uid="{00000000-0010-0000-0000-000017000000}" name="Руководитель" dataDxfId="34">
      <calculatedColumnFormula>IF(Егрюл[[#This Row],[Руководитель.Json]]&lt;&gt;"",Егрюл[[#This Row],[Руководитель.Json]],Егрюл[[#This Row],[Название полное]])</calculatedColumnFormula>
    </tableColumn>
    <tableColumn id="46" xr3:uid="{00000000-0010-0000-0000-00002E000000}" name="Руководитель.Json" dataDxfId="33">
      <calculatedColumnFormula>РазобратьJson(Егрюл[[#This Row],[JSON Исходник]],"suggestions",1,"data","management","name")</calculatedColumnFormula>
    </tableColumn>
    <tableColumn id="24" xr3:uid="{00000000-0010-0000-0000-000018000000}" name="Статус" dataDxfId="32">
      <calculatedColumnFormula>IF(Егрюл[[#This Row],[Статус.Json]]="ACTIVE","Действующая",IF(Егрюл[[#This Row],[Статус.Json]]="LIQUIDATING","Ликвидируемая",IF(Егрюл[[#This Row],[Статус.Json]]="LIQUIDATED","Ликвидированная","Присоединяемая")))</calculatedColumnFormula>
    </tableColumn>
    <tableColumn id="47" xr3:uid="{00000000-0010-0000-0000-00002F000000}" name="Статус.Json" dataDxfId="31">
      <calculatedColumnFormula>РазобратьJson(Егрюл[[#This Row],[JSON Исходник]],"suggestions",1,"data","state","status")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Должности" displayName="Должности" ref="A1:B24" totalsRowShown="0">
  <autoFilter ref="A1:B24" xr:uid="{00000000-0009-0000-0100-000009000000}"/>
  <sortState xmlns:xlrd2="http://schemas.microsoft.com/office/spreadsheetml/2017/richdata2" ref="A2:B24">
    <sortCondition ref="A1:A24"/>
  </sortState>
  <tableColumns count="2">
    <tableColumn id="1" xr3:uid="{00000000-0010-0000-0100-000001000000}" name="Должность"/>
    <tableColumn id="2" xr3:uid="{00000000-0010-0000-0100-000002000000}" name="Дат.падеж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СправочникОпф" displayName="СправочникОпф" ref="A1:D14" totalsRowShown="0">
  <autoFilter ref="A1:D14" xr:uid="{00000000-0009-0000-0100-00000B000000}"/>
  <tableColumns count="4">
    <tableColumn id="1" xr3:uid="{00000000-0010-0000-0200-000001000000}" name="ОПФ"/>
    <tableColumn id="2" xr3:uid="{00000000-0010-0000-0200-000002000000}" name="Полное"/>
    <tableColumn id="3" xr3:uid="{00000000-0010-0000-0200-000003000000}" name="ПолноеРодитПадеж"/>
    <tableColumn id="4" xr3:uid="{00000000-0010-0000-0200-000004000000}" name="ПолноеДатПадеж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subjects_org" displayName="subjects_org" ref="A1:W8" tableType="queryTable" totalsRowShown="0">
  <autoFilter ref="A1:W8" xr:uid="{00000000-0009-0000-0100-000002000000}"/>
  <tableColumns count="23">
    <tableColumn id="1" xr3:uid="{00000000-0010-0000-0300-000001000000}" uniqueName="1" name="Отображение" queryTableFieldId="26" dataDxfId="17"/>
    <tableColumn id="2" xr3:uid="{00000000-0010-0000-0300-000002000000}" uniqueName="2" name="Название краткое" queryTableFieldId="2" dataDxfId="16"/>
    <tableColumn id="3" xr3:uid="{00000000-0010-0000-0300-000003000000}" uniqueName="3" name="Название полное" queryTableFieldId="3" dataDxfId="15"/>
    <tableColumn id="4" xr3:uid="{00000000-0010-0000-0300-000004000000}" uniqueName="4" name="Наименование краткое" queryTableFieldId="4" dataDxfId="14"/>
    <tableColumn id="5" xr3:uid="{00000000-0010-0000-0300-000005000000}" uniqueName="5" name="Наименование полное" queryTableFieldId="5" dataDxfId="13"/>
    <tableColumn id="6" xr3:uid="{00000000-0010-0000-0300-000006000000}" uniqueName="6" name="ОПФ краткое" queryTableFieldId="6" dataDxfId="12"/>
    <tableColumn id="8" xr3:uid="{00000000-0010-0000-0300-000008000000}" uniqueName="8" name="ОПФ полное" queryTableFieldId="8" dataDxfId="11"/>
    <tableColumn id="10" xr3:uid="{00000000-0010-0000-0300-00000A000000}" uniqueName="10" name="ОГРН" queryTableFieldId="10" dataDxfId="10"/>
    <tableColumn id="11" xr3:uid="{00000000-0010-0000-0300-00000B000000}" uniqueName="11" name="Дата ОГРН" queryTableFieldId="11" dataDxfId="9"/>
    <tableColumn id="12" xr3:uid="{00000000-0010-0000-0300-00000C000000}" uniqueName="12" name="ИНН" queryTableFieldId="12"/>
    <tableColumn id="13" xr3:uid="{00000000-0010-0000-0300-00000D000000}" uniqueName="13" name="КПП" queryTableFieldId="13"/>
    <tableColumn id="14" xr3:uid="{00000000-0010-0000-0300-00000E000000}" uniqueName="14" name="ОКВЭД" queryTableFieldId="14" dataDxfId="8"/>
    <tableColumn id="15" xr3:uid="{00000000-0010-0000-0300-00000F000000}" uniqueName="15" name="ОКВЭД версия" queryTableFieldId="15"/>
    <tableColumn id="16" xr3:uid="{00000000-0010-0000-0300-000010000000}" uniqueName="16" name="Число филиалов" queryTableFieldId="16"/>
    <tableColumn id="17" xr3:uid="{00000000-0010-0000-0300-000011000000}" uniqueName="17" name="Тип подразделения" queryTableFieldId="17" dataDxfId="7"/>
    <tableColumn id="18" xr3:uid="{00000000-0010-0000-0300-000012000000}" uniqueName="18" name="Индекс" queryTableFieldId="18"/>
    <tableColumn id="19" xr3:uid="{00000000-0010-0000-0300-000013000000}" uniqueName="19" name="Адрес" queryTableFieldId="19" dataDxfId="6"/>
    <tableColumn id="20" xr3:uid="{00000000-0010-0000-0300-000014000000}" uniqueName="20" name="Полный адрес" queryTableFieldId="20" dataDxfId="5"/>
    <tableColumn id="21" xr3:uid="{00000000-0010-0000-0300-000015000000}" uniqueName="21" name="Адрес из ЕГРЮЛ(исходный)" queryTableFieldId="21" dataDxfId="4"/>
    <tableColumn id="22" xr3:uid="{00000000-0010-0000-0300-000016000000}" uniqueName="22" name="Точность распознования адреса" queryTableFieldId="22" dataDxfId="3"/>
    <tableColumn id="23" xr3:uid="{00000000-0010-0000-0300-000017000000}" uniqueName="23" name="Должность руководителя" queryTableFieldId="23" dataDxfId="2"/>
    <tableColumn id="24" xr3:uid="{00000000-0010-0000-0300-000018000000}" uniqueName="24" name="Руководитель" queryTableFieldId="24" dataDxfId="1"/>
    <tableColumn id="25" xr3:uid="{00000000-0010-0000-0300-000019000000}" uniqueName="25" name="Статус" queryTableFieldId="25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DF1B506-8250-4080-8C5F-5D050071D5DE}" name="ParamsFile" displayName="ParamsFile" ref="A1:B9" totalsRowShown="0" headerRowDxfId="30" dataDxfId="28" headerRowBorderDxfId="29" tableBorderDxfId="27">
  <autoFilter ref="A1:B9" xr:uid="{EDF1B506-8250-4080-8C5F-5D050071D5DE}"/>
  <tableColumns count="2">
    <tableColumn id="1" xr3:uid="{73FAF409-554F-4E19-8460-EDAD3E5C475D}" name="Параметр" dataDxfId="26"/>
    <tableColumn id="2" xr3:uid="{5ADC634A-2775-4994-B4A1-0254BA2453A9}" name="Значение" dataDxfId="2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W8"/>
  <sheetViews>
    <sheetView zoomScale="115" zoomScaleNormal="115" workbookViewId="0">
      <selection activeCell="B8" sqref="B8"/>
    </sheetView>
  </sheetViews>
  <sheetFormatPr defaultRowHeight="12.75" x14ac:dyDescent="0.2"/>
  <cols>
    <col min="1" max="1" width="31" style="9" customWidth="1"/>
    <col min="2" max="2" width="26" style="8" customWidth="1"/>
    <col min="3" max="3" width="23.1640625" customWidth="1"/>
    <col min="4" max="4" width="25.33203125" customWidth="1"/>
    <col min="5" max="5" width="25.33203125" hidden="1" customWidth="1"/>
    <col min="6" max="6" width="20.33203125" customWidth="1"/>
    <col min="7" max="7" width="44.5" customWidth="1"/>
    <col min="8" max="8" width="44.5" hidden="1" customWidth="1"/>
    <col min="9" max="9" width="19.5" customWidth="1"/>
    <col min="10" max="10" width="25.33203125" customWidth="1"/>
    <col min="11" max="11" width="25.33203125" hidden="1" customWidth="1"/>
    <col min="12" max="12" width="25.33203125" customWidth="1"/>
    <col min="13" max="13" width="33.6640625" customWidth="1"/>
    <col min="14" max="14" width="33.6640625" hidden="1" customWidth="1"/>
    <col min="15" max="15" width="33.6640625" customWidth="1"/>
    <col min="16" max="16" width="16.1640625" customWidth="1"/>
    <col min="17" max="17" width="16.1640625" hidden="1" customWidth="1"/>
    <col min="18" max="18" width="16.1640625" style="13" customWidth="1"/>
    <col min="19" max="19" width="17.6640625" customWidth="1"/>
    <col min="20" max="20" width="17.6640625" hidden="1" customWidth="1"/>
    <col min="21" max="21" width="17.6640625" style="13" customWidth="1"/>
    <col min="22" max="22" width="18.33203125" customWidth="1"/>
    <col min="23" max="23" width="14.33203125" customWidth="1"/>
    <col min="24" max="24" width="16.5" style="11" hidden="1" customWidth="1"/>
    <col min="25" max="25" width="14" customWidth="1"/>
    <col min="26" max="26" width="12.5" customWidth="1"/>
    <col min="27" max="27" width="12.5" hidden="1" customWidth="1"/>
    <col min="28" max="28" width="11.33203125" customWidth="1"/>
    <col min="29" max="29" width="18.33203125" customWidth="1"/>
    <col min="30" max="30" width="19.5" customWidth="1"/>
    <col min="31" max="31" width="19.5" hidden="1" customWidth="1"/>
    <col min="32" max="32" width="23.5" customWidth="1"/>
    <col min="33" max="33" width="23.5" hidden="1" customWidth="1"/>
    <col min="34" max="34" width="23.5" customWidth="1"/>
    <col min="35" max="35" width="23.5" hidden="1" customWidth="1"/>
    <col min="36" max="36" width="23.5" customWidth="1"/>
    <col min="37" max="37" width="51.1640625" customWidth="1"/>
    <col min="38" max="38" width="21.5" hidden="1" customWidth="1"/>
    <col min="39" max="39" width="46.6640625" customWidth="1"/>
    <col min="40" max="40" width="35.83203125" customWidth="1"/>
    <col min="41" max="41" width="31" customWidth="1"/>
    <col min="42" max="42" width="33.5" customWidth="1"/>
    <col min="43" max="43" width="27.83203125" customWidth="1"/>
    <col min="44" max="44" width="27.83203125" hidden="1" customWidth="1"/>
    <col min="45" max="45" width="27.83203125" customWidth="1"/>
    <col min="46" max="46" width="25.6640625" customWidth="1"/>
    <col min="47" max="47" width="25.6640625" hidden="1" customWidth="1"/>
    <col min="48" max="48" width="15.5" customWidth="1"/>
    <col min="49" max="49" width="9.33203125" hidden="1" customWidth="1"/>
    <col min="50" max="52" width="9.33203125" customWidth="1"/>
    <col min="55" max="55" width="10" bestFit="1" customWidth="1"/>
  </cols>
  <sheetData>
    <row r="1" spans="1:49" s="1" customFormat="1" ht="25.5" x14ac:dyDescent="0.2">
      <c r="A1" s="2" t="s">
        <v>150</v>
      </c>
      <c r="B1" s="7" t="s">
        <v>0</v>
      </c>
      <c r="C1" s="6" t="s">
        <v>22</v>
      </c>
      <c r="D1" s="3" t="s">
        <v>2</v>
      </c>
      <c r="E1" s="3" t="s">
        <v>68</v>
      </c>
      <c r="F1" s="3" t="s">
        <v>23</v>
      </c>
      <c r="G1" s="3" t="s">
        <v>17</v>
      </c>
      <c r="H1" s="3" t="s">
        <v>69</v>
      </c>
      <c r="I1" s="3" t="s">
        <v>24</v>
      </c>
      <c r="J1" s="3" t="s">
        <v>1</v>
      </c>
      <c r="K1" s="3" t="s">
        <v>70</v>
      </c>
      <c r="L1" s="3" t="s">
        <v>65</v>
      </c>
      <c r="M1" s="4" t="s">
        <v>16</v>
      </c>
      <c r="N1" s="4" t="s">
        <v>71</v>
      </c>
      <c r="O1" s="4" t="s">
        <v>66</v>
      </c>
      <c r="P1" s="4" t="s">
        <v>72</v>
      </c>
      <c r="Q1" s="4" t="s">
        <v>73</v>
      </c>
      <c r="R1" s="4" t="s">
        <v>119</v>
      </c>
      <c r="S1" s="4" t="s">
        <v>3</v>
      </c>
      <c r="T1" s="4" t="s">
        <v>74</v>
      </c>
      <c r="U1" s="4" t="s">
        <v>120</v>
      </c>
      <c r="V1" s="3" t="s">
        <v>4</v>
      </c>
      <c r="W1" s="3" t="s">
        <v>5</v>
      </c>
      <c r="X1" s="3" t="s">
        <v>75</v>
      </c>
      <c r="Y1" s="3" t="s">
        <v>6</v>
      </c>
      <c r="Z1" s="3" t="s">
        <v>7</v>
      </c>
      <c r="AA1" s="3" t="s">
        <v>79</v>
      </c>
      <c r="AB1" s="3" t="s">
        <v>8</v>
      </c>
      <c r="AC1" s="3" t="s">
        <v>9</v>
      </c>
      <c r="AD1" s="5" t="s">
        <v>10</v>
      </c>
      <c r="AE1" s="5" t="s">
        <v>80</v>
      </c>
      <c r="AF1" s="3" t="s">
        <v>11</v>
      </c>
      <c r="AG1" s="3" t="s">
        <v>81</v>
      </c>
      <c r="AH1" s="3" t="s">
        <v>21</v>
      </c>
      <c r="AI1" s="3" t="s">
        <v>76</v>
      </c>
      <c r="AJ1" s="3" t="s">
        <v>25</v>
      </c>
      <c r="AK1" s="3" t="s">
        <v>12</v>
      </c>
      <c r="AL1" s="3" t="s">
        <v>77</v>
      </c>
      <c r="AM1" s="3" t="s">
        <v>26</v>
      </c>
      <c r="AN1" s="3" t="s">
        <v>13</v>
      </c>
      <c r="AO1" s="3" t="s">
        <v>14</v>
      </c>
      <c r="AP1" s="3" t="s">
        <v>15</v>
      </c>
      <c r="AQ1" s="3" t="s">
        <v>18</v>
      </c>
      <c r="AR1" s="3" t="s">
        <v>78</v>
      </c>
      <c r="AS1" s="3" t="s">
        <v>27</v>
      </c>
      <c r="AT1" s="3" t="s">
        <v>19</v>
      </c>
      <c r="AU1" s="3" t="s">
        <v>82</v>
      </c>
      <c r="AV1" s="3" t="s">
        <v>20</v>
      </c>
      <c r="AW1" s="12" t="s">
        <v>83</v>
      </c>
    </row>
    <row r="2" spans="1:49" ht="76.5" x14ac:dyDescent="0.2">
      <c r="A2" s="20" t="str">
        <f>Егрюл[[#This Row],[Название краткое]]</f>
        <v>Газпром</v>
      </c>
      <c r="B2" s="16" t="s">
        <v>166</v>
      </c>
      <c r="C2" s="21" t="s">
        <v>167</v>
      </c>
      <c r="D2" s="22" t="str">
        <f>IF(Егрюл[[#This Row],[my_Название краткое]]&lt;&gt;"",Егрюл[[#This Row],[my_Название краткое]],IF(Егрюл[[#This Row],[Название краткое.Json]]&lt;&gt;"",Егрюл[[#This Row],[Название краткое.Json]],ФИО(Егрюл[[#This Row],[Название полное]])))</f>
        <v>Газпром</v>
      </c>
      <c r="E2" s="23" t="str">
        <f>РазобратьJson(Егрюл[[#This Row],[JSON Исходник]],"suggestions",1,"data","name","short")</f>
        <v>ГАЗПРОМ</v>
      </c>
      <c r="F2" s="35" t="s">
        <v>166</v>
      </c>
      <c r="G2" s="22" t="str">
        <f>IF(Егрюл[[#This Row],[my_Название полное]]&lt;&gt;"",Егрюл[[#This Row],[my_Название полное]],SUBSTITUTE(Егрюл[[#This Row],[Название полное.Json]],UPPER(Егрюл[[#This Row],[ОПФ полное]]),Егрюл[[#This Row],[ОПФ полное]]))</f>
        <v>Газпром</v>
      </c>
      <c r="H2" s="22" t="str">
        <f>РазобратьJson(Егрюл[[#This Row],[JSON Исходник]],"suggestions",1,"data","name","full")</f>
        <v>ГАЗПРОМ</v>
      </c>
      <c r="I2" s="36" t="s">
        <v>166</v>
      </c>
      <c r="J2" s="22" t="str">
        <f>IF(Егрюл[[#This Row],[my_Наименование краткое]]&lt;&gt;"",Егрюл[[#This Row],[my_Наименование краткое]],TRIM(
 SUBSTITUTE(
  SUBSTITUTE(
    " "&amp;
SUBSTITUTE(Егрюл[[#This Row],[Наименование краткое.Json]],IF(Егрюл[[#This Row],[Название краткое.Json]]&lt;&gt;"",Егрюл[[#This Row],[Название краткое.Json]],Егрюл[[#This Row],[Название полное]]),Егрюл[[#This Row],[Название краткое]])
&amp;" ",
    " """,
    " «"),
 """ ",
 "» ")))</f>
        <v>ПАО «Газпром»</v>
      </c>
      <c r="K2" s="22" t="str">
        <f>РазобратьJson(Егрюл[[#This Row],[JSON Исходник]],"suggestions",1,"value")</f>
        <v>ПАО "ГАЗПРОМ"</v>
      </c>
      <c r="L2" s="25"/>
      <c r="M2" s="22" t="str">
        <f>IF(Егрюл[[#This Row],[my_Наименование полное]]&lt;&gt;"",Егрюл[[#This Row],[my_Наименование полное]],TRIM(
 SUBSTITUTE(
  SUBSTITUTE(
    " "&amp;SUBSTITUTE(
      SUBSTITUTE(
        Егрюл[[#This Row],[Наименование полное.Json]],
         UPPER(Егрюл[[#This Row],[ОПФ полное]]),
         Егрюл[[#This Row],[ОПФ полное]]),
       Егрюл[[#This Row],[Название полное.Json]],
       Егрюл[[#This Row],[Название полное]])
    &amp;" ",
    " """,
    " «"),
 """ ",
 "» ")))</f>
        <v>Публичное акционерное общество «Газпром»</v>
      </c>
      <c r="N2" s="22" t="str">
        <f xml:space="preserve"> РазобратьJson(Егрюл[[#This Row],[JSON Исходник]],"suggestions",1,"data","name","full_with_opf")</f>
        <v>ПУБЛИЧНОЕ АКЦИОНЕРНОЕ ОБЩЕСТВО "ГАЗПРОМ"</v>
      </c>
      <c r="O2" s="25"/>
      <c r="P2" s="22" t="str">
        <f>IF(Егрюл[[#This Row],[my_ОПФ]]&lt;&gt;"",Егрюл[[#This Row],[my_ОПФ]],IF(Егрюл[[#This Row],[ОПФ краткое.Json]]&lt;&gt;0,Егрюл[[#This Row],[ОПФ краткое.Json]],""))</f>
        <v>ПАО</v>
      </c>
      <c r="Q2" s="22" t="str">
        <f>РазобратьJson(Егрюл[[#This Row],[JSON Исходник]],"suggestions",1,"data","opf","short")</f>
        <v>ПАО</v>
      </c>
      <c r="R2" s="25"/>
      <c r="S2" s="22" t="str">
        <f>IF(Егрюл[[#This Row],[my_ОПФ полное]]&lt;&gt;"",Егрюл[[#This Row],[my_ОПФ полное]],IF(Егрюл[[#This Row],[ОПФ полное.Json]]&lt;&gt;0,Егрюл[[#This Row],[ОПФ полное.Json]],""))</f>
        <v>Публичное акционерное общество</v>
      </c>
      <c r="T2" s="22" t="str">
        <f>РазобратьJson(Егрюл[[#This Row],[JSON Исходник]],"suggestions",1,"data","opf","full")</f>
        <v>Публичное акционерное общество</v>
      </c>
      <c r="U2" s="25"/>
      <c r="V2" s="26" t="str">
        <f>РазобратьJson(Егрюл[[#This Row],[JSON Исходник]],"suggestions",1,"data","ogrn")</f>
        <v>1027700070518</v>
      </c>
      <c r="W2" s="27">
        <f>IF(Егрюл[[#This Row],[Дата ОГРН2.Json]]&lt;&gt;"",DATE(1970,1,1)+Егрюл[[#This Row],[Дата ОГРН2.Json]]/1000/60/60/24,"")</f>
        <v>37470</v>
      </c>
      <c r="X2" s="28">
        <f>РазобратьJson(Егрюл[[#This Row],[JSON Исходник]],"suggestions",1,"data","ogrn_date")</f>
        <v>1028246400000</v>
      </c>
      <c r="Y2" s="26" t="str">
        <f>РазобратьJson(Егрюл[[#This Row],[JSON Исходник]],"suggestions",1,"data","inn")</f>
        <v>7736050003</v>
      </c>
      <c r="Z2" s="26" t="str">
        <f>IF(Егрюл[[#This Row],[КПП.json]]&lt;&gt;"",Егрюл[[#This Row],[КПП.json]],"")</f>
        <v>781401001</v>
      </c>
      <c r="AA2" s="26" t="str">
        <f>РазобратьJson(Егрюл[[#This Row],[JSON Исходник]],"suggestions",1,"data","kpp")</f>
        <v>781401001</v>
      </c>
      <c r="AB2" s="29" t="str">
        <f>РазобратьJson(Егрюл[[#This Row],[JSON Исходник]],"suggestions",1,"data","okved")</f>
        <v>46.71</v>
      </c>
      <c r="AC2" s="29" t="str">
        <f>РазобратьJson(Егрюл[[#This Row],[JSON Исходник]],"suggestions",1,"data","okved_type")</f>
        <v>2014</v>
      </c>
      <c r="AD2" s="22">
        <f>IF(Егрюл[[#This Row],[Число филиалов.Json]]&lt;&gt;"",Егрюл[[#This Row],[Число филиалов.Json]],"")</f>
        <v>15</v>
      </c>
      <c r="AE2" s="22">
        <f>РазобратьJson(Егрюл[[#This Row],[JSON Исходник]],"suggestions",1,"data","branch_count")</f>
        <v>15</v>
      </c>
      <c r="AF2" s="22" t="str">
        <f>IF(Егрюл[[#This Row],[Тип подразделения.Json]]&lt;&gt;"",IF(Егрюл[[#This Row],[Тип подразделения.Json]]="MAIN","Головная организация","Филиал"),"")</f>
        <v>Головная организация</v>
      </c>
      <c r="AG2" s="22" t="str">
        <f>РазобратьJson(Егрюл[[#This Row],[JSON Исходник]],"suggestions",1,"data","branch_type")</f>
        <v>MAIN</v>
      </c>
      <c r="AH2" s="30" t="str">
        <f>IF(Егрюл[[#This Row],[my_Индекс]]&lt;&gt;"",Егрюл[[#This Row],[my_Индекс]],Егрюл[[#This Row],[Индекс.Json]])</f>
        <v>197229</v>
      </c>
      <c r="AI2" s="31" t="str">
        <f>РазобратьJson(Егрюл[[#This Row],[JSON Исходник]],"suggestions",1,"data","address","data","postal_code")</f>
        <v>197229</v>
      </c>
      <c r="AJ2" s="32"/>
      <c r="AK2" s="22" t="str">
        <f>IF(Егрюл[[#This Row],[my_Адрес]]&lt;&gt;"",Егрюл[[#This Row],[my_Адрес]],Егрюл[[#This Row],[Адрес.Json]])</f>
        <v>г Санкт-Петербург, Лахтинский пр-кт, д 2 к 3 стр 1</v>
      </c>
      <c r="AL2" s="23" t="str">
        <f>РазобратьJson(Егрюл[[#This Row],[JSON Исходник]],"suggestions",1,"data","address","value")</f>
        <v>г Санкт-Петербург, Лахтинский пр-кт, д 2 к 3 стр 1</v>
      </c>
      <c r="AM2" s="33"/>
      <c r="AN2" s="29" t="str">
        <f>РазобратьJson(Егрюл[[#This Row],[JSON Исходник]],"suggestions",1,"data","address","unrestricted_value")</f>
        <v>197229, г Санкт-Петербург, Приморский р-н, Лахтинский пр-кт, д 2 к 3 стр 1</v>
      </c>
      <c r="AO2" s="29" t="str">
        <f>РазобратьJson(Егрюл[[#This Row],[JSON Исходник]],"suggestions",1,"data","address","data","source")</f>
        <v>197229, Г.Санкт-Петербург, ВН.ТЕР.Г. МУНИЦИПАЛЬНЫЙ ОКРУГ ЛАХТА-ОЛЬГИНО, ПР-КТ ЛАХТИНСКИЙ, Д. 2, К. 3, СТР. 1</v>
      </c>
      <c r="AP2" s="22" t="str">
        <f>IF(РазобратьJson(Егрюл[[#This Row],[JSON Исходник]],"suggestions",1,"data","address","data","qc")="0","Распознан","Надо проверить")</f>
        <v>Распознан</v>
      </c>
      <c r="AQ2" s="22" t="str">
        <f>IF(Егрюл[[#This Row],[my_Должность руководителя]]&lt;&gt;"",Егрюл[[#This Row],[my_Должность руководителя]],
IF(Егрюл[[#This Row],[Должность руководителя.Json]]&lt;&gt;"",
REPLACE(LOWER(Егрюл[[#This Row],[Должность руководителя.Json]]),1,1,UPPER(MID(Егрюл[[#This Row],[Должность руководителя.Json]],1,1))),
""))</f>
        <v>Председатель правления</v>
      </c>
      <c r="AR2" s="23" t="str">
        <f>РазобратьJson(Егрюл[[#This Row],[JSON Исходник]],"suggestions",1,"data","management","post")</f>
        <v>ПРЕДСЕДАТЕЛЬ ПРАВЛЕНИЯ</v>
      </c>
      <c r="AS2" s="24"/>
      <c r="AT2" s="22" t="str">
        <f>IF(Егрюл[[#This Row],[Руководитель.Json]]&lt;&gt;"",Егрюл[[#This Row],[Руководитель.Json]],Егрюл[[#This Row],[Название полное]])</f>
        <v>Миллер Алексей Борисович</v>
      </c>
      <c r="AU2" s="22" t="str">
        <f>РазобратьJson(Егрюл[[#This Row],[JSON Исходник]],"suggestions",1,"data","management","name")</f>
        <v>Миллер Алексей Борисович</v>
      </c>
      <c r="AV2" s="22" t="str">
        <f>IF(Егрюл[[#This Row],[Статус.Json]]="ACTIVE","Действующая",IF(Егрюл[[#This Row],[Статус.Json]]="LIQUIDATING","Ликвидируемая",IF(Егрюл[[#This Row],[Статус.Json]]="LIQUIDATED","Ликвидированная","Присоединяемая")))</f>
        <v>Действующая</v>
      </c>
      <c r="AW2" s="34" t="str">
        <f>РазобратьJson(Егрюл[[#This Row],[JSON Исходник]],"suggestions",1,"data","state","status")</f>
        <v>ACTIVE</v>
      </c>
    </row>
    <row r="3" spans="1:49" ht="38.25" x14ac:dyDescent="0.2">
      <c r="A3" s="37" t="str">
        <f>Егрюл[[#This Row],[Название краткое]]</f>
        <v>СБЕРБАНК</v>
      </c>
      <c r="B3" s="10" t="s">
        <v>168</v>
      </c>
      <c r="C3" s="38" t="s">
        <v>169</v>
      </c>
      <c r="D3" s="23" t="str">
        <f>IF(Егрюл[[#This Row],[my_Название краткое]]&lt;&gt;"",Егрюл[[#This Row],[my_Название краткое]],IF(Егрюл[[#This Row],[Название краткое.Json]]&lt;&gt;"",Егрюл[[#This Row],[Название краткое.Json]],ФИО(Егрюл[[#This Row],[Название полное]])))</f>
        <v>СБЕРБАНК</v>
      </c>
      <c r="E3" s="23" t="str">
        <f>РазобратьJson(Егрюл[[#This Row],[JSON Исходник]],"suggestions",1,"data","name","short")</f>
        <v>СБЕРБАНК</v>
      </c>
      <c r="F3" s="24"/>
      <c r="G3" s="23" t="str">
        <f>IF(Егрюл[[#This Row],[my_Название полное]]&lt;&gt;"",Егрюл[[#This Row],[my_Название полное]],SUBSTITUTE(Егрюл[[#This Row],[Название полное.Json]],UPPER(Егрюл[[#This Row],[ОПФ полное]]),Егрюл[[#This Row],[ОПФ полное]]))</f>
        <v>СБЕРБАНК РОССИИ</v>
      </c>
      <c r="H3" s="23" t="str">
        <f>РазобратьJson(Егрюл[[#This Row],[JSON Исходник]],"suggestions",1,"data","name","full")</f>
        <v>СБЕРБАНК РОССИИ</v>
      </c>
      <c r="I3" s="39"/>
      <c r="J3" s="23" t="str">
        <f>IF(Егрюл[[#This Row],[my_Наименование краткое]]&lt;&gt;"",Егрюл[[#This Row],[my_Наименование краткое]],TRIM(
 SUBSTITUTE(
  SUBSTITUTE(
    " "&amp;
SUBSTITUTE(Егрюл[[#This Row],[Наименование краткое.Json]],IF(Егрюл[[#This Row],[Название краткое.Json]]&lt;&gt;"",Егрюл[[#This Row],[Название краткое.Json]],Егрюл[[#This Row],[Название полное]]),Егрюл[[#This Row],[Название краткое]])
&amp;" ",
    " """,
    " «"),
 """ ",
 "» ")))</f>
        <v>ПАО СБЕРБАНК</v>
      </c>
      <c r="K3" s="23" t="str">
        <f>РазобратьJson(Егрюл[[#This Row],[JSON Исходник]],"suggestions",1,"value")</f>
        <v>ПАО СБЕРБАНК</v>
      </c>
      <c r="L3" s="39"/>
      <c r="M3" s="23" t="str">
        <f>IF(Егрюл[[#This Row],[my_Наименование полное]]&lt;&gt;"",Егрюл[[#This Row],[my_Наименование полное]],TRIM(
 SUBSTITUTE(
  SUBSTITUTE(
    " "&amp;SUBSTITUTE(
      SUBSTITUTE(
        Егрюл[[#This Row],[Наименование полное.Json]],
         UPPER(Егрюл[[#This Row],[ОПФ полное]]),
         Егрюл[[#This Row],[ОПФ полное]]),
       Егрюл[[#This Row],[Название полное.Json]],
       Егрюл[[#This Row],[Название полное]])
    &amp;" ",
    " """,
    " «"),
 """ ",
 "» ")))</f>
        <v>Публичное акционерное общество «СБЕРБАНК РОССИИ»</v>
      </c>
      <c r="N3" s="23" t="str">
        <f xml:space="preserve"> РазобратьJson(Егрюл[[#This Row],[JSON Исходник]],"suggestions",1,"data","name","full_with_opf")</f>
        <v>ПУБЛИЧНОЕ АКЦИОНЕРНОЕ ОБЩЕСТВО "СБЕРБАНК РОССИИ"</v>
      </c>
      <c r="O3" s="39"/>
      <c r="P3" s="23" t="str">
        <f>IF(Егрюл[[#This Row],[my_ОПФ]]&lt;&gt;"",Егрюл[[#This Row],[my_ОПФ]],IF(Егрюл[[#This Row],[ОПФ краткое.Json]]&lt;&gt;0,Егрюл[[#This Row],[ОПФ краткое.Json]],""))</f>
        <v>ПАО</v>
      </c>
      <c r="Q3" s="23" t="str">
        <f>РазобратьJson(Егрюл[[#This Row],[JSON Исходник]],"suggestions",1,"data","opf","short")</f>
        <v>ПАО</v>
      </c>
      <c r="R3" s="39"/>
      <c r="S3" s="23" t="str">
        <f>IF(Егрюл[[#This Row],[my_ОПФ полное]]&lt;&gt;"",Егрюл[[#This Row],[my_ОПФ полное]],IF(Егрюл[[#This Row],[ОПФ полное.Json]]&lt;&gt;0,Егрюл[[#This Row],[ОПФ полное.Json]],""))</f>
        <v>Публичное акционерное общество</v>
      </c>
      <c r="T3" s="23" t="str">
        <f>РазобратьJson(Егрюл[[#This Row],[JSON Исходник]],"suggestions",1,"data","opf","full")</f>
        <v>Публичное акционерное общество</v>
      </c>
      <c r="U3" s="39"/>
      <c r="V3" s="40" t="str">
        <f>РазобратьJson(Егрюл[[#This Row],[JSON Исходник]],"suggestions",1,"data","ogrn")</f>
        <v>1027700132195</v>
      </c>
      <c r="W3" s="41">
        <f>IF(Егрюл[[#This Row],[Дата ОГРН2.Json]]&lt;&gt;"",DATE(1970,1,1)+Егрюл[[#This Row],[Дата ОГРН2.Json]]/1000/60/60/24,"")</f>
        <v>37484</v>
      </c>
      <c r="X3" s="42">
        <f>РазобратьJson(Егрюл[[#This Row],[JSON Исходник]],"suggestions",1,"data","ogrn_date")</f>
        <v>1029456000000</v>
      </c>
      <c r="Y3" s="40" t="str">
        <f>РазобратьJson(Егрюл[[#This Row],[JSON Исходник]],"suggestions",1,"data","inn")</f>
        <v>7707083893</v>
      </c>
      <c r="Z3" s="40" t="str">
        <f>IF(Егрюл[[#This Row],[КПП.json]]&lt;&gt;"",Егрюл[[#This Row],[КПП.json]],"")</f>
        <v>773601001</v>
      </c>
      <c r="AA3" s="40" t="str">
        <f>РазобратьJson(Егрюл[[#This Row],[JSON Исходник]],"suggestions",1,"data","kpp")</f>
        <v>773601001</v>
      </c>
      <c r="AB3" s="43" t="str">
        <f>РазобратьJson(Егрюл[[#This Row],[JSON Исходник]],"suggestions",1,"data","okved")</f>
        <v>64.19</v>
      </c>
      <c r="AC3" s="43" t="str">
        <f>РазобратьJson(Егрюл[[#This Row],[JSON Исходник]],"suggestions",1,"data","okved_type")</f>
        <v>2014</v>
      </c>
      <c r="AD3" s="23">
        <f>IF(Егрюл[[#This Row],[Число филиалов.Json]]&lt;&gt;"",Егрюл[[#This Row],[Число филиалов.Json]],"")</f>
        <v>86</v>
      </c>
      <c r="AE3" s="23">
        <f>РазобратьJson(Егрюл[[#This Row],[JSON Исходник]],"suggestions",1,"data","branch_count")</f>
        <v>86</v>
      </c>
      <c r="AF3" s="23" t="str">
        <f>IF(Егрюл[[#This Row],[Тип подразделения.Json]]&lt;&gt;"",IF(Егрюл[[#This Row],[Тип подразделения.Json]]="MAIN","Головная организация","Филиал"),"")</f>
        <v>Головная организация</v>
      </c>
      <c r="AG3" s="23" t="str">
        <f>РазобратьJson(Егрюл[[#This Row],[JSON Исходник]],"suggestions",1,"data","branch_type")</f>
        <v>MAIN</v>
      </c>
      <c r="AH3" s="31" t="str">
        <f>IF(Егрюл[[#This Row],[my_Индекс]]&lt;&gt;"",Егрюл[[#This Row],[my_Индекс]],Егрюл[[#This Row],[Индекс.Json]])</f>
        <v>117312</v>
      </c>
      <c r="AI3" s="31" t="str">
        <f>РазобратьJson(Егрюл[[#This Row],[JSON Исходник]],"suggestions",1,"data","address","data","postal_code")</f>
        <v>117312</v>
      </c>
      <c r="AJ3" s="32"/>
      <c r="AK3" s="23" t="str">
        <f>IF(Егрюл[[#This Row],[my_Адрес]]&lt;&gt;"",Егрюл[[#This Row],[my_Адрес]],Егрюл[[#This Row],[Адрес.Json]])</f>
        <v>г Москва, ул Вавилова, д 19</v>
      </c>
      <c r="AL3" s="23" t="str">
        <f>РазобратьJson(Егрюл[[#This Row],[JSON Исходник]],"suggestions",1,"data","address","value")</f>
        <v>г Москва, ул Вавилова, д 19</v>
      </c>
      <c r="AM3" s="33"/>
      <c r="AN3" s="43" t="str">
        <f>РазобратьJson(Егрюл[[#This Row],[JSON Исходник]],"suggestions",1,"data","address","unrestricted_value")</f>
        <v>117312, г Москва, Академический р-н, ул Вавилова, д 19</v>
      </c>
      <c r="AO3" s="43" t="str">
        <f>РазобратьJson(Егрюл[[#This Row],[JSON Исходник]],"suggestions",1,"data","address","data","source")</f>
        <v>117312, ГОРОД МОСКВА, УЛ. ВАВИЛОВА, Д.19</v>
      </c>
      <c r="AP3" s="23" t="str">
        <f>IF(РазобратьJson(Егрюл[[#This Row],[JSON Исходник]],"suggestions",1,"data","address","data","qc")="0","Распознан","Надо проверить")</f>
        <v>Распознан</v>
      </c>
      <c r="AQ3" s="23" t="str">
        <f>IF(Егрюл[[#This Row],[my_Должность руководителя]]&lt;&gt;"",Егрюл[[#This Row],[my_Должность руководителя]],
IF(Егрюл[[#This Row],[Должность руководителя.Json]]&lt;&gt;"",
REPLACE(LOWER(Егрюл[[#This Row],[Должность руководителя.Json]]),1,1,UPPER(MID(Егрюл[[#This Row],[Должность руководителя.Json]],1,1))),
""))</f>
        <v>Президент, председатель правления</v>
      </c>
      <c r="AR3" s="23" t="str">
        <f>РазобратьJson(Егрюл[[#This Row],[JSON Исходник]],"suggestions",1,"data","management","post")</f>
        <v>ПРЕЗИДЕНТ, ПРЕДСЕДАТЕЛЬ ПРАВЛЕНИЯ</v>
      </c>
      <c r="AS3" s="24"/>
      <c r="AT3" s="23" t="str">
        <f>IF(Егрюл[[#This Row],[Руководитель.Json]]&lt;&gt;"",Егрюл[[#This Row],[Руководитель.Json]],Егрюл[[#This Row],[Название полное]])</f>
        <v>Греф Герман Оскарович</v>
      </c>
      <c r="AU3" s="23" t="str">
        <f>РазобратьJson(Егрюл[[#This Row],[JSON Исходник]],"suggestions",1,"data","management","name")</f>
        <v>Греф Герман Оскарович</v>
      </c>
      <c r="AV3" s="23" t="str">
        <f>IF(Егрюл[[#This Row],[Статус.Json]]="ACTIVE","Действующая",IF(Егрюл[[#This Row],[Статус.Json]]="LIQUIDATING","Ликвидируемая",IF(Егрюл[[#This Row],[Статус.Json]]="LIQUIDATED","Ликвидированная","Присоединяемая")))</f>
        <v>Действующая</v>
      </c>
      <c r="AW3" s="34" t="str">
        <f>РазобратьJson(Егрюл[[#This Row],[JSON Исходник]],"suggestions",1,"data","state","status")</f>
        <v>ACTIVE</v>
      </c>
    </row>
    <row r="4" spans="1:49" ht="51" x14ac:dyDescent="0.2">
      <c r="A4" s="37" t="str">
        <f>Егрюл[[#This Row],[Название краткое]]</f>
        <v>МИНСЕЛЬХОЗ РОССИИ</v>
      </c>
      <c r="B4" s="10" t="s">
        <v>170</v>
      </c>
      <c r="C4" s="38" t="s">
        <v>171</v>
      </c>
      <c r="D4" s="23" t="str">
        <f>IF(Егрюл[[#This Row],[my_Название краткое]]&lt;&gt;"",Егрюл[[#This Row],[my_Название краткое]],IF(Егрюл[[#This Row],[Название краткое.Json]]&lt;&gt;"",Егрюл[[#This Row],[Название краткое.Json]],ФИО(Егрюл[[#This Row],[Название полное]])))</f>
        <v>МИНСЕЛЬХОЗ РОССИИ</v>
      </c>
      <c r="E4" s="23" t="str">
        <f>РазобратьJson(Егрюл[[#This Row],[JSON Исходник]],"suggestions",1,"data","name","short")</f>
        <v>МИНСЕЛЬХОЗ РОССИИ</v>
      </c>
      <c r="F4" s="24"/>
      <c r="G4" s="23" t="str">
        <f>IF(Егрюл[[#This Row],[my_Название полное]]&lt;&gt;"",Егрюл[[#This Row],[my_Название полное]],SUBSTITUTE(Егрюл[[#This Row],[Название полное.Json]],UPPER(Егрюл[[#This Row],[ОПФ полное]]),Егрюл[[#This Row],[ОПФ полное]]))</f>
        <v>МИНИСТЕРСТВО СЕЛЬСКОГО ХОЗЯЙСТВА РОССИЙСКОЙ ФЕДЕРАЦИИ</v>
      </c>
      <c r="H4" s="23" t="str">
        <f>РазобратьJson(Егрюл[[#This Row],[JSON Исходник]],"suggestions",1,"data","name","full")</f>
        <v>МИНИСТЕРСТВО СЕЛЬСКОГО ХОЗЯЙСТВА РОССИЙСКОЙ ФЕДЕРАЦИИ</v>
      </c>
      <c r="I4" s="39"/>
      <c r="J4" s="23" t="str">
        <f>IF(Егрюл[[#This Row],[my_Наименование краткое]]&lt;&gt;"",Егрюл[[#This Row],[my_Наименование краткое]],TRIM(
 SUBSTITUTE(
  SUBSTITUTE(
    " "&amp;
SUBSTITUTE(Егрюл[[#This Row],[Наименование краткое.Json]],IF(Егрюл[[#This Row],[Название краткое.Json]]&lt;&gt;"",Егрюл[[#This Row],[Название краткое.Json]],Егрюл[[#This Row],[Название полное]]),Егрюл[[#This Row],[Название краткое]])
&amp;" ",
    " """,
    " «"),
 """ ",
 "» ")))</f>
        <v>МИНСЕЛЬХОЗ РОССИИ</v>
      </c>
      <c r="K4" s="23" t="str">
        <f>РазобратьJson(Егрюл[[#This Row],[JSON Исходник]],"suggestions",1,"value")</f>
        <v>МИНСЕЛЬХОЗ РОССИИ</v>
      </c>
      <c r="L4" s="39"/>
      <c r="M4" s="23" t="str">
        <f>IF(Егрюл[[#This Row],[my_Наименование полное]]&lt;&gt;"",Егрюл[[#This Row],[my_Наименование полное]],TRIM(
 SUBSTITUTE(
  SUBSTITUTE(
    " "&amp;SUBSTITUTE(
      SUBSTITUTE(
        Егрюл[[#This Row],[Наименование полное.Json]],
         UPPER(Егрюл[[#This Row],[ОПФ полное]]),
         Егрюл[[#This Row],[ОПФ полное]]),
       Егрюл[[#This Row],[Название полное.Json]],
       Егрюл[[#This Row],[Название полное]])
    &amp;" ",
    " """,
    " «"),
 """ ",
 "» ")))</f>
        <v>МИНИСТЕРСТВО СЕЛЬСКОГО ХОЗЯЙСТВА РОССИЙСКОЙ ФЕДЕРАЦИИ</v>
      </c>
      <c r="N4" s="23" t="str">
        <f xml:space="preserve"> РазобратьJson(Егрюл[[#This Row],[JSON Исходник]],"suggestions",1,"data","name","full_with_opf")</f>
        <v>МИНИСТЕРСТВО СЕЛЬСКОГО ХОЗЯЙСТВА РОССИЙСКОЙ ФЕДЕРАЦИИ</v>
      </c>
      <c r="O4" s="39"/>
      <c r="P4" s="23" t="str">
        <f>IF(Егрюл[[#This Row],[my_ОПФ]]&lt;&gt;"",Егрюл[[#This Row],[my_ОПФ]],IF(Егрюл[[#This Row],[ОПФ краткое.Json]]&lt;&gt;0,Егрюл[[#This Row],[ОПФ краткое.Json]],""))</f>
        <v>ФГКУ</v>
      </c>
      <c r="Q4" s="23" t="str">
        <f>РазобратьJson(Егрюл[[#This Row],[JSON Исходник]],"suggestions",1,"data","opf","short")</f>
        <v>ФГКУ</v>
      </c>
      <c r="R4" s="39"/>
      <c r="S4" s="23" t="str">
        <f>IF(Егрюл[[#This Row],[my_ОПФ полное]]&lt;&gt;"",Егрюл[[#This Row],[my_ОПФ полное]],IF(Егрюл[[#This Row],[ОПФ полное.Json]]&lt;&gt;0,Егрюл[[#This Row],[ОПФ полное.Json]],""))</f>
        <v>Федеральное государственное казенное учреждение</v>
      </c>
      <c r="T4" s="23" t="str">
        <f>РазобратьJson(Егрюл[[#This Row],[JSON Исходник]],"suggestions",1,"data","opf","full")</f>
        <v>Федеральное государственное казенное учреждение</v>
      </c>
      <c r="U4" s="39"/>
      <c r="V4" s="40" t="str">
        <f>РазобратьJson(Егрюл[[#This Row],[JSON Исходник]],"suggestions",1,"data","ogrn")</f>
        <v>1067760630684</v>
      </c>
      <c r="W4" s="41">
        <f>IF(Егрюл[[#This Row],[Дата ОГРН2.Json]]&lt;&gt;"",DATE(1970,1,1)+Егрюл[[#This Row],[Дата ОГРН2.Json]]/1000/60/60/24,"")</f>
        <v>39057</v>
      </c>
      <c r="X4" s="42">
        <f>РазобратьJson(Егрюл[[#This Row],[JSON Исходник]],"suggestions",1,"data","ogrn_date")</f>
        <v>1165363200000</v>
      </c>
      <c r="Y4" s="40" t="str">
        <f>РазобратьJson(Егрюл[[#This Row],[JSON Исходник]],"suggestions",1,"data","inn")</f>
        <v>7708075454</v>
      </c>
      <c r="Z4" s="40" t="str">
        <f>IF(Егрюл[[#This Row],[КПП.json]]&lt;&gt;"",Егрюл[[#This Row],[КПП.json]],"")</f>
        <v>770801001</v>
      </c>
      <c r="AA4" s="40" t="str">
        <f>РазобратьJson(Егрюл[[#This Row],[JSON Исходник]],"suggestions",1,"data","kpp")</f>
        <v>770801001</v>
      </c>
      <c r="AB4" s="43" t="str">
        <f>РазобратьJson(Егрюл[[#This Row],[JSON Исходник]],"suggestions",1,"data","okved")</f>
        <v>84.13</v>
      </c>
      <c r="AC4" s="43" t="str">
        <f>РазобратьJson(Егрюл[[#This Row],[JSON Исходник]],"suggestions",1,"data","okved_type")</f>
        <v>2014</v>
      </c>
      <c r="AD4" s="23">
        <f>IF(Егрюл[[#This Row],[Число филиалов.Json]]&lt;&gt;"",Егрюл[[#This Row],[Число филиалов.Json]],"")</f>
        <v>0</v>
      </c>
      <c r="AE4" s="23">
        <f>РазобратьJson(Егрюл[[#This Row],[JSON Исходник]],"suggestions",1,"data","branch_count")</f>
        <v>0</v>
      </c>
      <c r="AF4" s="23" t="str">
        <f>IF(Егрюл[[#This Row],[Тип подразделения.Json]]&lt;&gt;"",IF(Егрюл[[#This Row],[Тип подразделения.Json]]="MAIN","Головная организация","Филиал"),"")</f>
        <v>Головная организация</v>
      </c>
      <c r="AG4" s="23" t="str">
        <f>РазобратьJson(Егрюл[[#This Row],[JSON Исходник]],"suggestions",1,"data","branch_type")</f>
        <v>MAIN</v>
      </c>
      <c r="AH4" s="31" t="str">
        <f>IF(Егрюл[[#This Row],[my_Индекс]]&lt;&gt;"",Егрюл[[#This Row],[my_Индекс]],Егрюл[[#This Row],[Индекс.Json]])</f>
        <v>107078</v>
      </c>
      <c r="AI4" s="31" t="str">
        <f>РазобратьJson(Егрюл[[#This Row],[JSON Исходник]],"suggestions",1,"data","address","data","postal_code")</f>
        <v>107078</v>
      </c>
      <c r="AJ4" s="32"/>
      <c r="AK4" s="23" t="str">
        <f>IF(Егрюл[[#This Row],[my_Адрес]]&lt;&gt;"",Егрюл[[#This Row],[my_Адрес]],Егрюл[[#This Row],[Адрес.Json]])</f>
        <v>г Москва, Орликов пер, д 1/11</v>
      </c>
      <c r="AL4" s="23" t="str">
        <f>РазобратьJson(Егрюл[[#This Row],[JSON Исходник]],"suggestions",1,"data","address","value")</f>
        <v>г Москва, Орликов пер, д 1/11</v>
      </c>
      <c r="AM4" s="33"/>
      <c r="AN4" s="43" t="str">
        <f>РазобратьJson(Егрюл[[#This Row],[JSON Исходник]],"suggestions",1,"data","address","unrestricted_value")</f>
        <v>107078, г Москва, Красносельский р-н, Орликов пер, д 1/11</v>
      </c>
      <c r="AO4" s="43" t="str">
        <f>РазобратьJson(Егрюл[[#This Row],[JSON Исходник]],"suggestions",1,"data","address","data","source")</f>
        <v>107139, ГОРОД МОСКВА, ПЕР. ОРЛИКОВ, Д.1/11</v>
      </c>
      <c r="AP4" s="23" t="str">
        <f>IF(РазобратьJson(Егрюл[[#This Row],[JSON Исходник]],"suggestions",1,"data","address","data","qc")="0","Распознан","Надо проверить")</f>
        <v>Распознан</v>
      </c>
      <c r="AQ4" s="23" t="str">
        <f>IF(Егрюл[[#This Row],[my_Должность руководителя]]&lt;&gt;"",Егрюл[[#This Row],[my_Должность руководителя]],
IF(Егрюл[[#This Row],[Должность руководителя.Json]]&lt;&gt;"",
REPLACE(LOWER(Егрюл[[#This Row],[Должность руководителя.Json]]),1,1,UPPER(MID(Егрюл[[#This Row],[Должность руководителя.Json]],1,1))),
""))</f>
        <v>Министр</v>
      </c>
      <c r="AR4" s="23" t="str">
        <f>РазобратьJson(Егрюл[[#This Row],[JSON Исходник]],"suggestions",1,"data","management","post")</f>
        <v>МИНИСТР</v>
      </c>
      <c r="AS4" s="24"/>
      <c r="AT4" s="23" t="str">
        <f>IF(Егрюл[[#This Row],[Руководитель.Json]]&lt;&gt;"",Егрюл[[#This Row],[Руководитель.Json]],Егрюл[[#This Row],[Название полное]])</f>
        <v>Патрушев Дмитрий Николаевич</v>
      </c>
      <c r="AU4" s="23" t="str">
        <f>РазобратьJson(Егрюл[[#This Row],[JSON Исходник]],"suggestions",1,"data","management","name")</f>
        <v>Патрушев Дмитрий Николаевич</v>
      </c>
      <c r="AV4" s="23" t="str">
        <f>IF(Егрюл[[#This Row],[Статус.Json]]="ACTIVE","Действующая",IF(Егрюл[[#This Row],[Статус.Json]]="LIQUIDATING","Ликвидируемая",IF(Егрюл[[#This Row],[Статус.Json]]="LIQUIDATED","Ликвидированная","Присоединяемая")))</f>
        <v>Действующая</v>
      </c>
      <c r="AW4" s="34" t="str">
        <f>РазобратьJson(Егрюл[[#This Row],[JSON Исходник]],"suggestions",1,"data","state","status")</f>
        <v>ACTIVE</v>
      </c>
    </row>
    <row r="5" spans="1:49" ht="76.5" x14ac:dyDescent="0.2">
      <c r="A5" s="37" t="str">
        <f>Егрюл[[#This Row],[Название краткое]]</f>
        <v>Правительство Москвы</v>
      </c>
      <c r="B5" s="10" t="s">
        <v>172</v>
      </c>
      <c r="C5" s="38" t="s">
        <v>173</v>
      </c>
      <c r="D5" s="23" t="str">
        <f>IF(Егрюл[[#This Row],[my_Название краткое]]&lt;&gt;"",Егрюл[[#This Row],[my_Название краткое]],IF(Егрюл[[#This Row],[Название краткое.Json]]&lt;&gt;"",Егрюл[[#This Row],[Название краткое.Json]],ФИО(Егрюл[[#This Row],[Название полное]])))</f>
        <v>Правительство Москвы</v>
      </c>
      <c r="E5" s="23" t="str">
        <f>РазобратьJson(Егрюл[[#This Row],[JSON Исходник]],"suggestions",1,"data","name","short")</f>
        <v>ПРАВИТЕЛЬСТВО МОСКВЫ</v>
      </c>
      <c r="F5" s="24" t="s">
        <v>174</v>
      </c>
      <c r="G5" s="23" t="str">
        <f>IF(Егрюл[[#This Row],[my_Название полное]]&lt;&gt;"",Егрюл[[#This Row],[my_Название полное]],SUBSTITUTE(Егрюл[[#This Row],[Название полное.Json]],UPPER(Егрюл[[#This Row],[ОПФ полное]]),Егрюл[[#This Row],[ОПФ полное]]))</f>
        <v>ВЫСШИЙ ИСПОЛНИТЕЛЬНЫЙ ОРГАН ГОСУДАРСТВЕННОЙ ВЛАСТИ ГОРОДА МОСКВЫ-ПРАВИТЕЛЬСТВО МОСКВЫ</v>
      </c>
      <c r="H5" s="23" t="str">
        <f>РазобратьJson(Егрюл[[#This Row],[JSON Исходник]],"suggestions",1,"data","name","full")</f>
        <v>ВЫСШИЙ ИСПОЛНИТЕЛЬНЫЙ ОРГАН ГОСУДАРСТВЕННОЙ ВЛАСТИ ГОРОДА МОСКВЫ-ПРАВИТЕЛЬСТВО МОСКВЫ</v>
      </c>
      <c r="I5" s="39"/>
      <c r="J5" s="23" t="str">
        <f>IF(Егрюл[[#This Row],[my_Наименование краткое]]&lt;&gt;"",Егрюл[[#This Row],[my_Наименование краткое]],TRIM(
 SUBSTITUTE(
  SUBSTITUTE(
    " "&amp;
SUBSTITUTE(Егрюл[[#This Row],[Наименование краткое.Json]],IF(Егрюл[[#This Row],[Название краткое.Json]]&lt;&gt;"",Егрюл[[#This Row],[Название краткое.Json]],Егрюл[[#This Row],[Название полное]]),Егрюл[[#This Row],[Название краткое]])
&amp;" ",
    " """,
    " «"),
 """ ",
 "» ")))</f>
        <v>Правительство Москвы</v>
      </c>
      <c r="K5" s="23" t="str">
        <f>РазобратьJson(Егрюл[[#This Row],[JSON Исходник]],"suggestions",1,"value")</f>
        <v>ПРАВИТЕЛЬСТВО МОСКВЫ</v>
      </c>
      <c r="L5" s="39"/>
      <c r="M5" s="23" t="str">
        <f>IF(Егрюл[[#This Row],[my_Наименование полное]]&lt;&gt;"",Егрюл[[#This Row],[my_Наименование полное]],TRIM(
 SUBSTITUTE(
  SUBSTITUTE(
    " "&amp;SUBSTITUTE(
      SUBSTITUTE(
        Егрюл[[#This Row],[Наименование полное.Json]],
         UPPER(Егрюл[[#This Row],[ОПФ полное]]),
         Егрюл[[#This Row],[ОПФ полное]]),
       Егрюл[[#This Row],[Название полное.Json]],
       Егрюл[[#This Row],[Название полное]])
    &amp;" ",
    " """,
    " «"),
 """ ",
 "» ")))</f>
        <v>ВЫСШИЙ ИСПОЛНИТЕЛЬНЫЙ ОРГАН ГОСУДАРСТВЕННОЙ ВЛАСТИ ГОРОДА МОСКВЫ-ПРАВИТЕЛЬСТВО МОСКВЫ</v>
      </c>
      <c r="N5" s="23" t="str">
        <f xml:space="preserve"> РазобратьJson(Егрюл[[#This Row],[JSON Исходник]],"suggestions",1,"data","name","full_with_opf")</f>
        <v>ВЫСШИЙ ИСПОЛНИТЕЛЬНЫЙ ОРГАН ГОСУДАРСТВЕННОЙ ВЛАСТИ ГОРОДА МОСКВЫ-ПРАВИТЕЛЬСТВО МОСКВЫ</v>
      </c>
      <c r="O5" s="39"/>
      <c r="P5" s="23" t="str">
        <f>IF(Егрюл[[#This Row],[my_ОПФ]]&lt;&gt;"",Егрюл[[#This Row],[my_ОПФ]],IF(Егрюл[[#This Row],[ОПФ краткое.Json]]&lt;&gt;0,Егрюл[[#This Row],[ОПФ краткое.Json]],""))</f>
        <v>ГБУ</v>
      </c>
      <c r="Q5" s="23" t="str">
        <f>РазобратьJson(Егрюл[[#This Row],[JSON Исходник]],"suggestions",1,"data","opf","short")</f>
        <v>ГБУ</v>
      </c>
      <c r="R5" s="39"/>
      <c r="S5" s="23" t="str">
        <f>IF(Егрюл[[#This Row],[my_ОПФ полное]]&lt;&gt;"",Егрюл[[#This Row],[my_ОПФ полное]],IF(Егрюл[[#This Row],[ОПФ полное.Json]]&lt;&gt;0,Егрюл[[#This Row],[ОПФ полное.Json]],""))</f>
        <v>Государственное бюджетное учреждение субъекта Российской Федерации</v>
      </c>
      <c r="T5" s="23" t="str">
        <f>РазобратьJson(Егрюл[[#This Row],[JSON Исходник]],"suggestions",1,"data","opf","full")</f>
        <v>Государственное бюджетное учреждение субъекта Российской Федерации</v>
      </c>
      <c r="U5" s="39"/>
      <c r="V5" s="40" t="str">
        <f>РазобратьJson(Егрюл[[#This Row],[JSON Исходник]],"suggestions",1,"data","ogrn")</f>
        <v>1027739813507</v>
      </c>
      <c r="W5" s="41">
        <f>IF(Егрюл[[#This Row],[Дата ОГРН2.Json]]&lt;&gt;"",DATE(1970,1,1)+Егрюл[[#This Row],[Дата ОГРН2.Json]]/1000/60/60/24,"")</f>
        <v>37608</v>
      </c>
      <c r="X5" s="42">
        <f>РазобратьJson(Егрюл[[#This Row],[JSON Исходник]],"suggestions",1,"data","ogrn_date")</f>
        <v>1040169600000</v>
      </c>
      <c r="Y5" s="40" t="str">
        <f>РазобратьJson(Егрюл[[#This Row],[JSON Исходник]],"suggestions",1,"data","inn")</f>
        <v>7710489036</v>
      </c>
      <c r="Z5" s="40" t="str">
        <f>IF(Егрюл[[#This Row],[КПП.json]]&lt;&gt;"",Егрюл[[#This Row],[КПП.json]],"")</f>
        <v>771001001</v>
      </c>
      <c r="AA5" s="40" t="str">
        <f>РазобратьJson(Егрюл[[#This Row],[JSON Исходник]],"suggestions",1,"data","kpp")</f>
        <v>771001001</v>
      </c>
      <c r="AB5" s="43" t="str">
        <f>РазобратьJson(Егрюл[[#This Row],[JSON Исходник]],"suggestions",1,"data","okved")</f>
        <v>84.11.21</v>
      </c>
      <c r="AC5" s="43" t="str">
        <f>РазобратьJson(Егрюл[[#This Row],[JSON Исходник]],"suggestions",1,"data","okved_type")</f>
        <v>2014</v>
      </c>
      <c r="AD5" s="23">
        <f>IF(Егрюл[[#This Row],[Число филиалов.Json]]&lt;&gt;"",Егрюл[[#This Row],[Число филиалов.Json]],"")</f>
        <v>0</v>
      </c>
      <c r="AE5" s="23">
        <f>РазобратьJson(Егрюл[[#This Row],[JSON Исходник]],"suggestions",1,"data","branch_count")</f>
        <v>0</v>
      </c>
      <c r="AF5" s="23" t="str">
        <f>IF(Егрюл[[#This Row],[Тип подразделения.Json]]&lt;&gt;"",IF(Егрюл[[#This Row],[Тип подразделения.Json]]="MAIN","Головная организация","Филиал"),"")</f>
        <v>Головная организация</v>
      </c>
      <c r="AG5" s="23" t="str">
        <f>РазобратьJson(Егрюл[[#This Row],[JSON Исходник]],"suggestions",1,"data","branch_type")</f>
        <v>MAIN</v>
      </c>
      <c r="AH5" s="31" t="str">
        <f>IF(Егрюл[[#This Row],[my_Индекс]]&lt;&gt;"",Егрюл[[#This Row],[my_Индекс]],Егрюл[[#This Row],[Индекс.Json]])</f>
        <v>125032</v>
      </c>
      <c r="AI5" s="31" t="str">
        <f>РазобратьJson(Егрюл[[#This Row],[JSON Исходник]],"suggestions",1,"data","address","data","postal_code")</f>
        <v>125032</v>
      </c>
      <c r="AJ5" s="32"/>
      <c r="AK5" s="23" t="str">
        <f>IF(Егрюл[[#This Row],[my_Адрес]]&lt;&gt;"",Егрюл[[#This Row],[my_Адрес]],Егрюл[[#This Row],[Адрес.Json]])</f>
        <v>г Москва, ул Тверская, д 13</v>
      </c>
      <c r="AL5" s="23" t="str">
        <f>РазобратьJson(Егрюл[[#This Row],[JSON Исходник]],"suggestions",1,"data","address","value")</f>
        <v>г Москва, ул Тверская, д 13</v>
      </c>
      <c r="AM5" s="33"/>
      <c r="AN5" s="43" t="str">
        <f>РазобратьJson(Егрюл[[#This Row],[JSON Исходник]],"suggestions",1,"data","address","unrestricted_value")</f>
        <v>125032, г Москва, Тверской р-н, ул Тверская, д 13</v>
      </c>
      <c r="AO5" s="43" t="str">
        <f>РазобратьJson(Егрюл[[#This Row],[JSON Исходник]],"suggestions",1,"data","address","data","source")</f>
        <v>125032, ГОРОД МОСКВА, УЛ. ТВЕРСКАЯ, Д.13</v>
      </c>
      <c r="AP5" s="23" t="str">
        <f>IF(РазобратьJson(Егрюл[[#This Row],[JSON Исходник]],"suggestions",1,"data","address","data","qc")="0","Распознан","Надо проверить")</f>
        <v>Распознан</v>
      </c>
      <c r="AQ5" s="23" t="str">
        <f>IF(Егрюл[[#This Row],[my_Должность руководителя]]&lt;&gt;"",Егрюл[[#This Row],[my_Должность руководителя]],
IF(Егрюл[[#This Row],[Должность руководителя.Json]]&lt;&gt;"",
REPLACE(LOWER(Егрюл[[#This Row],[Должность руководителя.Json]]),1,1,UPPER(MID(Егрюл[[#This Row],[Должность руководителя.Json]],1,1))),
""))</f>
        <v>Мэр москвы</v>
      </c>
      <c r="AR5" s="23" t="str">
        <f>РазобратьJson(Егрюл[[#This Row],[JSON Исходник]],"suggestions",1,"data","management","post")</f>
        <v>МЭР МОСКВЫ</v>
      </c>
      <c r="AS5" s="24"/>
      <c r="AT5" s="23" t="str">
        <f>IF(Егрюл[[#This Row],[Руководитель.Json]]&lt;&gt;"",Егрюл[[#This Row],[Руководитель.Json]],Егрюл[[#This Row],[Название полное]])</f>
        <v>Собянин Сергей Семенович</v>
      </c>
      <c r="AU5" s="23" t="str">
        <f>РазобратьJson(Егрюл[[#This Row],[JSON Исходник]],"suggestions",1,"data","management","name")</f>
        <v>Собянин Сергей Семенович</v>
      </c>
      <c r="AV5" s="23" t="str">
        <f>IF(Егрюл[[#This Row],[Статус.Json]]="ACTIVE","Действующая",IF(Егрюл[[#This Row],[Статус.Json]]="LIQUIDATING","Ликвидируемая",IF(Егрюл[[#This Row],[Статус.Json]]="LIQUIDATED","Ликвидированная","Присоединяемая")))</f>
        <v>Действующая</v>
      </c>
      <c r="AW5" s="34" t="str">
        <f>РазобратьJson(Егрюл[[#This Row],[JSON Исходник]],"suggestions",1,"data","state","status")</f>
        <v>ACTIVE</v>
      </c>
    </row>
    <row r="6" spans="1:49" ht="127.5" x14ac:dyDescent="0.2">
      <c r="A6" s="37" t="str">
        <f>Егрюл[[#This Row],[Название краткое]]</f>
        <v>НПИ ГИПРОЗЕМ</v>
      </c>
      <c r="B6" s="10" t="s">
        <v>175</v>
      </c>
      <c r="C6" s="38" t="s">
        <v>176</v>
      </c>
      <c r="D6" s="23" t="str">
        <f>IF(Егрюл[[#This Row],[my_Название краткое]]&lt;&gt;"",Егрюл[[#This Row],[my_Название краткое]],IF(Егрюл[[#This Row],[Название краткое.Json]]&lt;&gt;"",Егрюл[[#This Row],[Название краткое.Json]],ФИО(Егрюл[[#This Row],[Название полное]])))</f>
        <v>НПИ ГИПРОЗЕМ</v>
      </c>
      <c r="E6" s="23" t="str">
        <f>РазобратьJson(Егрюл[[#This Row],[JSON Исходник]],"suggestions",1,"data","name","short")</f>
        <v>НПИ ГИПРОЗЕМ</v>
      </c>
      <c r="F6" s="24"/>
      <c r="G6" s="23" t="str">
        <f>IF(Егрюл[[#This Row],[my_Название полное]]&lt;&gt;"",Егрюл[[#This Row],[my_Название полное]],SUBSTITUTE(Егрюл[[#This Row],[Название полное.Json]],UPPER(Егрюл[[#This Row],[ОПФ полное]]),Егрюл[[#This Row],[ОПФ полное]]))</f>
        <v>НАУЧНО-ПРОИЗВОДСТВЕННЫЙ ИНСТИТУТ ПО ЗЕМЛЕУСТРОЙСТВУ, ЗЕМЕЛЬНОМУ КАДАСТРУ И ТЕХНИЧЕСКОЙ ИНВЕНТАРИЗАЦИИ ОБЪЕКТОВ НЕДВИЖИМОСТИ</v>
      </c>
      <c r="H6" s="23" t="str">
        <f>РазобратьJson(Егрюл[[#This Row],[JSON Исходник]],"suggestions",1,"data","name","full")</f>
        <v>НАУЧНО-ПРОИЗВОДСТВЕННЫЙ ИНСТИТУТ ПО ЗЕМЛЕУСТРОЙСТВУ, ЗЕМЕЛЬНОМУ КАДАСТРУ И ТЕХНИЧЕСКОЙ ИНВЕНТАРИЗАЦИИ ОБЪЕКТОВ НЕДВИЖИМОСТИ</v>
      </c>
      <c r="I6" s="39"/>
      <c r="J6" s="23" t="str">
        <f>IF(Егрюл[[#This Row],[my_Наименование краткое]]&lt;&gt;"",Егрюл[[#This Row],[my_Наименование краткое]],TRIM(
 SUBSTITUTE(
  SUBSTITUTE(
    " "&amp;
SUBSTITUTE(Егрюл[[#This Row],[Наименование краткое.Json]],IF(Егрюл[[#This Row],[Название краткое.Json]]&lt;&gt;"",Егрюл[[#This Row],[Название краткое.Json]],Егрюл[[#This Row],[Название полное]]),Егрюл[[#This Row],[Название краткое]])
&amp;" ",
    " """,
    " «"),
 """ ",
 "» ")))</f>
        <v>ООО НПИ «ГИПРОЗЕМ»</v>
      </c>
      <c r="K6" s="23" t="str">
        <f>РазобратьJson(Егрюл[[#This Row],[JSON Исходник]],"suggestions",1,"value")</f>
        <v>ООО НПИ "ГИПРОЗЕМ"</v>
      </c>
      <c r="L6" s="39"/>
      <c r="M6" s="23" t="str">
        <f>IF(Егрюл[[#This Row],[my_Наименование полное]]&lt;&gt;"",Егрюл[[#This Row],[my_Наименование полное]],TRIM(
 SUBSTITUTE(
  SUBSTITUTE(
    " "&amp;SUBSTITUTE(
      SUBSTITUTE(
        Егрюл[[#This Row],[Наименование полное.Json]],
         UPPER(Егрюл[[#This Row],[ОПФ полное]]),
         Егрюл[[#This Row],[ОПФ полное]]),
       Егрюл[[#This Row],[Название полное.Json]],
       Егрюл[[#This Row],[Название полное]])
    &amp;" ",
    " """,
    " «"),
 """ ",
 "» ")))</f>
        <v>Общество с ограниченной ответственностью «НАУЧНО-ПРОИЗВОДСТВЕННЫЙ ИНСТИТУТ ПО ЗЕМЛЕУСТРОЙСТВУ, ЗЕМЕЛЬНОМУ КАДАСТРУ И ТЕХНИЧЕСКОЙ ИНВЕНТАРИЗАЦИИ ОБЪЕКТОВ НЕДВИЖИМОСТИ»</v>
      </c>
      <c r="N6" s="23" t="str">
        <f xml:space="preserve"> РазобратьJson(Егрюл[[#This Row],[JSON Исходник]],"suggestions",1,"data","name","full_with_opf")</f>
        <v>ОБЩЕСТВО С ОГРАНИЧЕННОЙ ОТВЕТСТВЕННОСТЬЮ "НАУЧНО-ПРОИЗВОДСТВЕННЫЙ ИНСТИТУТ ПО ЗЕМЛЕУСТРОЙСТВУ, ЗЕМЕЛЬНОМУ КАДАСТРУ И ТЕХНИЧЕСКОЙ ИНВЕНТАРИЗАЦИИ ОБЪЕКТОВ НЕДВИЖИМОСТИ"</v>
      </c>
      <c r="O6" s="39"/>
      <c r="P6" s="23" t="str">
        <f>IF(Егрюл[[#This Row],[my_ОПФ]]&lt;&gt;"",Егрюл[[#This Row],[my_ОПФ]],IF(Егрюл[[#This Row],[ОПФ краткое.Json]]&lt;&gt;0,Егрюл[[#This Row],[ОПФ краткое.Json]],""))</f>
        <v>ООО</v>
      </c>
      <c r="Q6" s="23" t="str">
        <f>РазобратьJson(Егрюл[[#This Row],[JSON Исходник]],"suggestions",1,"data","opf","short")</f>
        <v>ООО</v>
      </c>
      <c r="R6" s="39"/>
      <c r="S6" s="23" t="str">
        <f>IF(Егрюл[[#This Row],[my_ОПФ полное]]&lt;&gt;"",Егрюл[[#This Row],[my_ОПФ полное]],IF(Егрюл[[#This Row],[ОПФ полное.Json]]&lt;&gt;0,Егрюл[[#This Row],[ОПФ полное.Json]],""))</f>
        <v>Общество с ограниченной ответственностью</v>
      </c>
      <c r="T6" s="23" t="str">
        <f>РазобратьJson(Егрюл[[#This Row],[JSON Исходник]],"suggestions",1,"data","opf","full")</f>
        <v>Общество с ограниченной ответственностью</v>
      </c>
      <c r="U6" s="39"/>
      <c r="V6" s="40" t="str">
        <f>РазобратьJson(Егрюл[[#This Row],[JSON Исходник]],"suggestions",1,"data","ogrn")</f>
        <v>1047796868679</v>
      </c>
      <c r="W6" s="41">
        <f>IF(Егрюл[[#This Row],[Дата ОГРН2.Json]]&lt;&gt;"",DATE(1970,1,1)+Егрюл[[#This Row],[Дата ОГРН2.Json]]/1000/60/60/24,"")</f>
        <v>38306</v>
      </c>
      <c r="X6" s="42">
        <f>РазобратьJson(Егрюл[[#This Row],[JSON Исходник]],"suggestions",1,"data","ogrn_date")</f>
        <v>1100476800000</v>
      </c>
      <c r="Y6" s="40" t="str">
        <f>РазобратьJson(Егрюл[[#This Row],[JSON Исходник]],"suggestions",1,"data","inn")</f>
        <v>7709577520</v>
      </c>
      <c r="Z6" s="40" t="str">
        <f>IF(Егрюл[[#This Row],[КПП.json]]&lt;&gt;"",Егрюл[[#This Row],[КПП.json]],"")</f>
        <v>771301001</v>
      </c>
      <c r="AA6" s="40" t="str">
        <f>РазобратьJson(Егрюл[[#This Row],[JSON Исходник]],"suggestions",1,"data","kpp")</f>
        <v>771301001</v>
      </c>
      <c r="AB6" s="43" t="str">
        <f>РазобратьJson(Егрюл[[#This Row],[JSON Исходник]],"suggestions",1,"data","okved")</f>
        <v>74.20</v>
      </c>
      <c r="AC6" s="43" t="str">
        <f>РазобратьJson(Егрюл[[#This Row],[JSON Исходник]],"suggestions",1,"data","okved_type")</f>
        <v>2001</v>
      </c>
      <c r="AD6" s="23">
        <f>IF(Егрюл[[#This Row],[Число филиалов.Json]]&lt;&gt;"",Егрюл[[#This Row],[Число филиалов.Json]],"")</f>
        <v>0</v>
      </c>
      <c r="AE6" s="23">
        <f>РазобратьJson(Егрюл[[#This Row],[JSON Исходник]],"suggestions",1,"data","branch_count")</f>
        <v>0</v>
      </c>
      <c r="AF6" s="23" t="str">
        <f>IF(Егрюл[[#This Row],[Тип подразделения.Json]]&lt;&gt;"",IF(Егрюл[[#This Row],[Тип подразделения.Json]]="MAIN","Головная организация","Филиал"),"")</f>
        <v>Головная организация</v>
      </c>
      <c r="AG6" s="23" t="str">
        <f>РазобратьJson(Егрюл[[#This Row],[JSON Исходник]],"suggestions",1,"data","branch_type")</f>
        <v>MAIN</v>
      </c>
      <c r="AH6" s="31" t="str">
        <f>IF(Егрюл[[#This Row],[my_Индекс]]&lt;&gt;"",Егрюл[[#This Row],[my_Индекс]],Егрюл[[#This Row],[Индекс.Json]])</f>
        <v>127434</v>
      </c>
      <c r="AI6" s="31" t="str">
        <f>РазобратьJson(Егрюл[[#This Row],[JSON Исходник]],"suggestions",1,"data","address","data","postal_code")</f>
        <v>127434</v>
      </c>
      <c r="AJ6" s="32"/>
      <c r="AK6" s="23" t="str">
        <f>IF(Егрюл[[#This Row],[my_Адрес]]&lt;&gt;"",Егрюл[[#This Row],[my_Адрес]],Егрюл[[#This Row],[Адрес.Json]])</f>
        <v>г Москва, Дмитровское шоссе, д 25 к 1</v>
      </c>
      <c r="AL6" s="23" t="str">
        <f>РазобратьJson(Егрюл[[#This Row],[JSON Исходник]],"suggestions",1,"data","address","value")</f>
        <v>г Москва, Дмитровское шоссе, д 25 к 1</v>
      </c>
      <c r="AM6" s="33"/>
      <c r="AN6" s="43" t="str">
        <f>РазобратьJson(Егрюл[[#This Row],[JSON Исходник]],"suggestions",1,"data","address","unrestricted_value")</f>
        <v>127434, г Москва, Тимирязевский р-н, Дмитровское шоссе, д 25 к 1</v>
      </c>
      <c r="AO6" s="43" t="str">
        <f>РазобратьJson(Егрюл[[#This Row],[JSON Исходник]],"suggestions",1,"data","address","data","source")</f>
        <v>127434, ГОРОД МОСКВА, Ш. ДМИТРОВСКОЕ, Д.25, К.1</v>
      </c>
      <c r="AP6" s="23" t="str">
        <f>IF(РазобратьJson(Егрюл[[#This Row],[JSON Исходник]],"suggestions",1,"data","address","data","qc")="0","Распознан","Надо проверить")</f>
        <v>Распознан</v>
      </c>
      <c r="AQ6" s="23" t="str">
        <f>IF(Егрюл[[#This Row],[my_Должность руководителя]]&lt;&gt;"",Егрюл[[#This Row],[my_Должность руководителя]],
IF(Егрюл[[#This Row],[Должность руководителя.Json]]&lt;&gt;"",
REPLACE(LOWER(Егрюл[[#This Row],[Должность руководителя.Json]]),1,1,UPPER(MID(Егрюл[[#This Row],[Должность руководителя.Json]],1,1))),
""))</f>
        <v>Генеральный директор</v>
      </c>
      <c r="AR6" s="23" t="str">
        <f>РазобратьJson(Егрюл[[#This Row],[JSON Исходник]],"suggestions",1,"data","management","post")</f>
        <v>Генеральный директор</v>
      </c>
      <c r="AS6" s="24"/>
      <c r="AT6" s="23" t="str">
        <f>IF(Егрюл[[#This Row],[Руководитель.Json]]&lt;&gt;"",Егрюл[[#This Row],[Руководитель.Json]],Егрюл[[#This Row],[Название полное]])</f>
        <v>Ломоносов Анатолий Николаевич</v>
      </c>
      <c r="AU6" s="23" t="str">
        <f>РазобратьJson(Егрюл[[#This Row],[JSON Исходник]],"suggestions",1,"data","management","name")</f>
        <v>Ломоносов Анатолий Николаевич</v>
      </c>
      <c r="AV6" s="23" t="str">
        <f>IF(Егрюл[[#This Row],[Статус.Json]]="ACTIVE","Действующая",IF(Егрюл[[#This Row],[Статус.Json]]="LIQUIDATING","Ликвидируемая",IF(Егрюл[[#This Row],[Статус.Json]]="LIQUIDATED","Ликвидированная","Присоединяемая")))</f>
        <v>Ликвидированная</v>
      </c>
      <c r="AW6" s="34" t="str">
        <f>РазобратьJson(Егрюл[[#This Row],[JSON Исходник]],"suggestions",1,"data","state","status")</f>
        <v>LIQUIDATED</v>
      </c>
    </row>
    <row r="7" spans="1:49" ht="38.25" x14ac:dyDescent="0.2">
      <c r="A7" s="37">
        <f>Егрюл[[#This Row],[Название краткое]]</f>
        <v>0</v>
      </c>
      <c r="B7" s="10" t="s">
        <v>177</v>
      </c>
      <c r="C7" s="38" t="s">
        <v>178</v>
      </c>
      <c r="D7" s="23">
        <f>IF(Егрюл[[#This Row],[my_Название краткое]]&lt;&gt;"",Егрюл[[#This Row],[my_Название краткое]],IF(Егрюл[[#This Row],[Название краткое.Json]]&lt;&gt;"",Егрюл[[#This Row],[Название краткое.Json]],ФИО(Егрюл[[#This Row],[Название полное]])))</f>
        <v>0</v>
      </c>
      <c r="E7" s="23">
        <f>РазобратьJson(Егрюл[[#This Row],[JSON Исходник]],"suggestions",1,"data","name","short")</f>
        <v>0</v>
      </c>
      <c r="F7" s="24"/>
      <c r="G7" s="23" t="str">
        <f>IF(Егрюл[[#This Row],[my_Название полное]]&lt;&gt;"",Егрюл[[#This Row],[my_Название полное]],SUBSTITUTE(Егрюл[[#This Row],[Название полное.Json]],UPPER(Егрюл[[#This Row],[ОПФ полное]]),Егрюл[[#This Row],[ОПФ полное]]))</f>
        <v>Сидоров Адик</v>
      </c>
      <c r="H7" s="23" t="str">
        <f>РазобратьJson(Егрюл[[#This Row],[JSON Исходник]],"suggestions",1,"data","name","full")</f>
        <v>Сидоров Адик</v>
      </c>
      <c r="I7" s="39"/>
      <c r="J7" s="23" t="str">
        <f>IF(Егрюл[[#This Row],[my_Наименование краткое]]&lt;&gt;"",Егрюл[[#This Row],[my_Наименование краткое]],TRIM(
 SUBSTITUTE(
  SUBSTITUTE(
    " "&amp;
SUBSTITUTE(Егрюл[[#This Row],[Наименование краткое.Json]],IF(Егрюл[[#This Row],[Название краткое.Json]]&lt;&gt;"",Егрюл[[#This Row],[Название краткое.Json]],Егрюл[[#This Row],[Название полное]]),Егрюл[[#This Row],[Название краткое]])
&amp;" ",
    " """,
    " «"),
 """ ",
 "» ")))</f>
        <v>ИП Сидоров Адик</v>
      </c>
      <c r="K7" s="23" t="str">
        <f>РазобратьJson(Егрюл[[#This Row],[JSON Исходник]],"suggestions",1,"value")</f>
        <v>ИП Сидоров Адик</v>
      </c>
      <c r="L7" s="39"/>
      <c r="M7" s="23" t="str">
        <f>IF(Егрюл[[#This Row],[my_Наименование полное]]&lt;&gt;"",Егрюл[[#This Row],[my_Наименование полное]],TRIM(
 SUBSTITUTE(
  SUBSTITUTE(
    " "&amp;SUBSTITUTE(
      SUBSTITUTE(
        Егрюл[[#This Row],[Наименование полное.Json]],
         UPPER(Егрюл[[#This Row],[ОПФ полное]]),
         Егрюл[[#This Row],[ОПФ полное]]),
       Егрюл[[#This Row],[Название полное.Json]],
       Егрюл[[#This Row],[Название полное]])
    &amp;" ",
    " """,
    " «"),
 """ ",
 "» ")))</f>
        <v>Индивидуальный предприниматель Сидоров Адик</v>
      </c>
      <c r="N7" s="23" t="str">
        <f xml:space="preserve"> РазобратьJson(Егрюл[[#This Row],[JSON Исходник]],"suggestions",1,"data","name","full_with_opf")</f>
        <v>Индивидуальный предприниматель Сидоров Адик</v>
      </c>
      <c r="O7" s="39"/>
      <c r="P7" s="23" t="str">
        <f>IF(Егрюл[[#This Row],[my_ОПФ]]&lt;&gt;"",Егрюл[[#This Row],[my_ОПФ]],IF(Егрюл[[#This Row],[ОПФ краткое.Json]]&lt;&gt;0,Егрюл[[#This Row],[ОПФ краткое.Json]],""))</f>
        <v>ИП</v>
      </c>
      <c r="Q7" s="23" t="str">
        <f>РазобратьJson(Егрюл[[#This Row],[JSON Исходник]],"suggestions",1,"data","opf","short")</f>
        <v>ИП</v>
      </c>
      <c r="R7" s="39"/>
      <c r="S7" s="23" t="str">
        <f>IF(Егрюл[[#This Row],[my_ОПФ полное]]&lt;&gt;"",Егрюл[[#This Row],[my_ОПФ полное]],IF(Егрюл[[#This Row],[ОПФ полное.Json]]&lt;&gt;0,Егрюл[[#This Row],[ОПФ полное.Json]],""))</f>
        <v>Индивидуальный предприниматель</v>
      </c>
      <c r="T7" s="23" t="str">
        <f>РазобратьJson(Егрюл[[#This Row],[JSON Исходник]],"suggestions",1,"data","opf","full")</f>
        <v>Индивидуальный предприниматель</v>
      </c>
      <c r="U7" s="39"/>
      <c r="V7" s="40" t="str">
        <f>РазобратьJson(Егрюл[[#This Row],[JSON Исходник]],"suggestions",1,"data","ogrn")</f>
        <v>317502400048937</v>
      </c>
      <c r="W7" s="41">
        <f>IF(Егрюл[[#This Row],[Дата ОГРН2.Json]]&lt;&gt;"",DATE(1970,1,1)+Егрюл[[#This Row],[Дата ОГРН2.Json]]/1000/60/60/24,"")</f>
        <v>42976</v>
      </c>
      <c r="X7" s="42">
        <f>РазобратьJson(Егрюл[[#This Row],[JSON Исходник]],"suggestions",1,"data","ogrn_date")</f>
        <v>1503964800000</v>
      </c>
      <c r="Y7" s="40" t="str">
        <f>РазобратьJson(Егрюл[[#This Row],[JSON Исходник]],"suggestions",1,"data","inn")</f>
        <v>502806330379</v>
      </c>
      <c r="Z7" s="40">
        <f>IF(Егрюл[[#This Row],[КПП.json]]&lt;&gt;"",Егрюл[[#This Row],[КПП.json]],"")</f>
        <v>0</v>
      </c>
      <c r="AA7" s="40">
        <f>РазобратьJson(Егрюл[[#This Row],[JSON Исходник]],"suggestions",1,"data","kpp")</f>
        <v>0</v>
      </c>
      <c r="AB7" s="43" t="str">
        <f>РазобратьJson(Егрюл[[#This Row],[JSON Исходник]],"suggestions",1,"data","okved")</f>
        <v>45.20</v>
      </c>
      <c r="AC7" s="43" t="str">
        <f>РазобратьJson(Егрюл[[#This Row],[JSON Исходник]],"suggestions",1,"data","okved_type")</f>
        <v>2014</v>
      </c>
      <c r="AD7" s="23">
        <f>IF(Егрюл[[#This Row],[Число филиалов.Json]]&lt;&gt;"",Егрюл[[#This Row],[Число филиалов.Json]],"")</f>
        <v>0</v>
      </c>
      <c r="AE7" s="23">
        <f>РазобратьJson(Егрюл[[#This Row],[JSON Исходник]],"suggestions",1,"data","branch_count")</f>
        <v>0</v>
      </c>
      <c r="AF7" s="23" t="str">
        <f>IF(Егрюл[[#This Row],[Тип подразделения.Json]]&lt;&gt;"",IF(Егрюл[[#This Row],[Тип подразделения.Json]]="MAIN","Головная организация","Филиал"),"")</f>
        <v>Филиал</v>
      </c>
      <c r="AG7" s="23">
        <f>РазобратьJson(Егрюл[[#This Row],[JSON Исходник]],"suggestions",1,"data","branch_type")</f>
        <v>0</v>
      </c>
      <c r="AH7" s="31" t="str">
        <f>IF(Егрюл[[#This Row],[my_Индекс]]&lt;&gt;"",Егрюл[[#This Row],[my_Индекс]],Егрюл[[#This Row],[Индекс.Json]])</f>
        <v>141895</v>
      </c>
      <c r="AI7" s="31" t="str">
        <f>РазобратьJson(Егрюл[[#This Row],[JSON Исходник]],"suggestions",1,"data","address","data","postal_code")</f>
        <v>141895</v>
      </c>
      <c r="AJ7" s="32"/>
      <c r="AK7" s="23" t="str">
        <f>IF(Егрюл[[#This Row],[my_Адрес]]&lt;&gt;"",Егрюл[[#This Row],[my_Адрес]],Егрюл[[#This Row],[Адрес.Json]])</f>
        <v>Московская обл, г Дмитров, село Озерецкое</v>
      </c>
      <c r="AL7" s="23" t="str">
        <f>РазобратьJson(Егрюл[[#This Row],[JSON Исходник]],"suggestions",1,"data","address","value")</f>
        <v>Московская обл, г Дмитров, село Озерецкое</v>
      </c>
      <c r="AM7" s="33"/>
      <c r="AN7" s="43" t="str">
        <f>РазобратьJson(Егрюл[[#This Row],[JSON Исходник]],"suggestions",1,"data","address","unrestricted_value")</f>
        <v>141895, Московская обл, г Дмитров, село Озерецкое</v>
      </c>
      <c r="AO7" s="43" t="str">
        <f>РазобратьJson(Егрюл[[#This Row],[JSON Исходник]],"suggestions",1,"data","address","data","source")</f>
        <v>ОБЛАСТЬ МОСКОВСКАЯ, ГОРОД ДМИТРОВ, СЕЛО ОЗЕРЕЦКОЕ</v>
      </c>
      <c r="AP7" s="23" t="str">
        <f>IF(РазобратьJson(Егрюл[[#This Row],[JSON Исходник]],"suggestions",1,"data","address","data","qc")="0","Распознан","Надо проверить")</f>
        <v>Распознан</v>
      </c>
      <c r="AQ7" s="23" t="str">
        <f>IF(Егрюл[[#This Row],[my_Должность руководителя]]&lt;&gt;"",Егрюл[[#This Row],[my_Должность руководителя]],
IF(Егрюл[[#This Row],[Должность руководителя.Json]]&lt;&gt;"",
REPLACE(LOWER(Егрюл[[#This Row],[Должность руководителя.Json]]),1,1,UPPER(MID(Егрюл[[#This Row],[Должность руководителя.Json]],1,1))),
""))</f>
        <v>0</v>
      </c>
      <c r="AR7" s="23">
        <f>РазобратьJson(Егрюл[[#This Row],[JSON Исходник]],"suggestions",1,"data","management","post")</f>
        <v>0</v>
      </c>
      <c r="AS7" s="24"/>
      <c r="AT7" s="23">
        <f>IF(Егрюл[[#This Row],[Руководитель.Json]]&lt;&gt;"",Егрюл[[#This Row],[Руководитель.Json]],Егрюл[[#This Row],[Название полное]])</f>
        <v>0</v>
      </c>
      <c r="AU7" s="23">
        <f>РазобратьJson(Егрюл[[#This Row],[JSON Исходник]],"suggestions",1,"data","management","name")</f>
        <v>0</v>
      </c>
      <c r="AV7" s="23" t="str">
        <f>IF(Егрюл[[#This Row],[Статус.Json]]="ACTIVE","Действующая",IF(Егрюл[[#This Row],[Статус.Json]]="LIQUIDATING","Ликвидируемая",IF(Егрюл[[#This Row],[Статус.Json]]="LIQUIDATED","Ликвидированная","Присоединяемая")))</f>
        <v>Действующая</v>
      </c>
      <c r="AW7" s="34" t="str">
        <f>РазобратьJson(Егрюл[[#This Row],[JSON Исходник]],"suggestions",1,"data","state","status")</f>
        <v>ACTIVE</v>
      </c>
    </row>
    <row r="8" spans="1:49" x14ac:dyDescent="0.2">
      <c r="A8" s="37" t="str">
        <f>Егрюл[[#This Row],[Название краткое]]</f>
        <v>СБЕРБАНК</v>
      </c>
      <c r="B8" s="10" t="s">
        <v>239</v>
      </c>
      <c r="C8" s="38" t="s">
        <v>169</v>
      </c>
      <c r="D8" s="23" t="str">
        <f>IF(Егрюл[[#This Row],[my_Название краткое]]&lt;&gt;"",Егрюл[[#This Row],[my_Название краткое]],IF(Егрюл[[#This Row],[Название краткое.Json]]&lt;&gt;"",Егрюл[[#This Row],[Название краткое.Json]],ФИО(Егрюл[[#This Row],[Название полное]])))</f>
        <v>СБЕРБАНК</v>
      </c>
      <c r="E8" s="23" t="str">
        <f>РазобратьJson(Егрюл[[#This Row],[JSON Исходник]],"suggestions",1,"data","name","short")</f>
        <v>СБЕРБАНК</v>
      </c>
      <c r="F8" s="24"/>
      <c r="G8" s="23" t="str">
        <f>IF(Егрюл[[#This Row],[my_Название полное]]&lt;&gt;"",Егрюл[[#This Row],[my_Название полное]],SUBSTITUTE(Егрюл[[#This Row],[Название полное.Json]],UPPER(Егрюл[[#This Row],[ОПФ полное]]),Егрюл[[#This Row],[ОПФ полное]]))</f>
        <v>СБЕРБАНК РОССИИ</v>
      </c>
      <c r="H8" s="23" t="str">
        <f>РазобратьJson(Егрюл[[#This Row],[JSON Исходник]],"suggestions",1,"data","name","full")</f>
        <v>СБЕРБАНК РОССИИ</v>
      </c>
      <c r="I8" s="39"/>
      <c r="J8" s="23" t="str">
        <f>IF(Егрюл[[#This Row],[my_Наименование краткое]]&lt;&gt;"",Егрюл[[#This Row],[my_Наименование краткое]],TRIM(
 SUBSTITUTE(
  SUBSTITUTE(
    " "&amp;
SUBSTITUTE(Егрюл[[#This Row],[Наименование краткое.Json]],IF(Егрюл[[#This Row],[Название краткое.Json]]&lt;&gt;"",Егрюл[[#This Row],[Название краткое.Json]],Егрюл[[#This Row],[Название полное]]),Егрюл[[#This Row],[Название краткое]])
&amp;" ",
    " """,
    " «"),
 """ ",
 "» ")))</f>
        <v>ПАО СБЕРБАНК</v>
      </c>
      <c r="K8" s="23" t="str">
        <f>РазобратьJson(Егрюл[[#This Row],[JSON Исходник]],"suggestions",1,"value")</f>
        <v>ПАО СБЕРБАНК</v>
      </c>
      <c r="L8" s="39"/>
      <c r="M8" s="23" t="str">
        <f>IF(Егрюл[[#This Row],[my_Наименование полное]]&lt;&gt;"",Егрюл[[#This Row],[my_Наименование полное]],TRIM(
 SUBSTITUTE(
  SUBSTITUTE(
    " "&amp;SUBSTITUTE(
      SUBSTITUTE(
        Егрюл[[#This Row],[Наименование полное.Json]],
         UPPER(Егрюл[[#This Row],[ОПФ полное]]),
         Егрюл[[#This Row],[ОПФ полное]]),
       Егрюл[[#This Row],[Название полное.Json]],
       Егрюл[[#This Row],[Название полное]])
    &amp;" ",
    " """,
    " «"),
 """ ",
 "» ")))</f>
        <v>Публичное акционерное общество «СБЕРБАНК РОССИИ»</v>
      </c>
      <c r="N8" s="23" t="str">
        <f xml:space="preserve"> РазобратьJson(Егрюл[[#This Row],[JSON Исходник]],"suggestions",1,"data","name","full_with_opf")</f>
        <v>ПУБЛИЧНОЕ АКЦИОНЕРНОЕ ОБЩЕСТВО "СБЕРБАНК РОССИИ"</v>
      </c>
      <c r="O8" s="39"/>
      <c r="P8" s="23" t="str">
        <f>IF(Егрюл[[#This Row],[my_ОПФ]]&lt;&gt;"",Егрюл[[#This Row],[my_ОПФ]],IF(Егрюл[[#This Row],[ОПФ краткое.Json]]&lt;&gt;0,Егрюл[[#This Row],[ОПФ краткое.Json]],""))</f>
        <v>ПАО</v>
      </c>
      <c r="Q8" s="23" t="str">
        <f>РазобратьJson(Егрюл[[#This Row],[JSON Исходник]],"suggestions",1,"data","opf","short")</f>
        <v>ПАО</v>
      </c>
      <c r="R8" s="39"/>
      <c r="S8" s="23" t="str">
        <f>IF(Егрюл[[#This Row],[my_ОПФ полное]]&lt;&gt;"",Егрюл[[#This Row],[my_ОПФ полное]],IF(Егрюл[[#This Row],[ОПФ полное.Json]]&lt;&gt;0,Егрюл[[#This Row],[ОПФ полное.Json]],""))</f>
        <v>Публичное акционерное общество</v>
      </c>
      <c r="T8" s="23" t="str">
        <f>РазобратьJson(Егрюл[[#This Row],[JSON Исходник]],"suggestions",1,"data","opf","full")</f>
        <v>Публичное акционерное общество</v>
      </c>
      <c r="U8" s="39"/>
      <c r="V8" s="40" t="str">
        <f>РазобратьJson(Егрюл[[#This Row],[JSON Исходник]],"suggestions",1,"data","ogrn")</f>
        <v>1027700132195</v>
      </c>
      <c r="W8" s="41">
        <f>IF(Егрюл[[#This Row],[Дата ОГРН2.Json]]&lt;&gt;"",DATE(1970,1,1)+Егрюл[[#This Row],[Дата ОГРН2.Json]]/1000/60/60/24,"")</f>
        <v>37484</v>
      </c>
      <c r="X8" s="42">
        <f>РазобратьJson(Егрюл[[#This Row],[JSON Исходник]],"suggestions",1,"data","ogrn_date")</f>
        <v>1029456000000</v>
      </c>
      <c r="Y8" s="40" t="str">
        <f>РазобратьJson(Егрюл[[#This Row],[JSON Исходник]],"suggestions",1,"data","inn")</f>
        <v>7707083893</v>
      </c>
      <c r="Z8" s="40" t="str">
        <f>IF(Егрюл[[#This Row],[КПП.json]]&lt;&gt;"",Егрюл[[#This Row],[КПП.json]],"")</f>
        <v>773601001</v>
      </c>
      <c r="AA8" s="40" t="str">
        <f>РазобратьJson(Егрюл[[#This Row],[JSON Исходник]],"suggestions",1,"data","kpp")</f>
        <v>773601001</v>
      </c>
      <c r="AB8" s="43" t="str">
        <f>РазобратьJson(Егрюл[[#This Row],[JSON Исходник]],"suggestions",1,"data","okved")</f>
        <v>64.19</v>
      </c>
      <c r="AC8" s="43" t="str">
        <f>РазобратьJson(Егрюл[[#This Row],[JSON Исходник]],"suggestions",1,"data","okved_type")</f>
        <v>2014</v>
      </c>
      <c r="AD8" s="23">
        <f>IF(Егрюл[[#This Row],[Число филиалов.Json]]&lt;&gt;"",Егрюл[[#This Row],[Число филиалов.Json]],"")</f>
        <v>86</v>
      </c>
      <c r="AE8" s="23">
        <f>РазобратьJson(Егрюл[[#This Row],[JSON Исходник]],"suggestions",1,"data","branch_count")</f>
        <v>86</v>
      </c>
      <c r="AF8" s="23" t="str">
        <f>IF(Егрюл[[#This Row],[Тип подразделения.Json]]&lt;&gt;"",IF(Егрюл[[#This Row],[Тип подразделения.Json]]="MAIN","Головная организация","Филиал"),"")</f>
        <v>Головная организация</v>
      </c>
      <c r="AG8" s="23" t="str">
        <f>РазобратьJson(Егрюл[[#This Row],[JSON Исходник]],"suggestions",1,"data","branch_type")</f>
        <v>MAIN</v>
      </c>
      <c r="AH8" s="31" t="str">
        <f>IF(Егрюл[[#This Row],[my_Индекс]]&lt;&gt;"",Егрюл[[#This Row],[my_Индекс]],Егрюл[[#This Row],[Индекс.Json]])</f>
        <v>117312</v>
      </c>
      <c r="AI8" s="31" t="str">
        <f>РазобратьJson(Егрюл[[#This Row],[JSON Исходник]],"suggestions",1,"data","address","data","postal_code")</f>
        <v>117312</v>
      </c>
      <c r="AJ8" s="32"/>
      <c r="AK8" s="23" t="str">
        <f>IF(Егрюл[[#This Row],[my_Адрес]]&lt;&gt;"",Егрюл[[#This Row],[my_Адрес]],Егрюл[[#This Row],[Адрес.Json]])</f>
        <v>г Москва, ул Вавилова, д 19</v>
      </c>
      <c r="AL8" s="23" t="str">
        <f>РазобратьJson(Егрюл[[#This Row],[JSON Исходник]],"suggestions",1,"data","address","value")</f>
        <v>г Москва, ул Вавилова, д 19</v>
      </c>
      <c r="AM8" s="33"/>
      <c r="AN8" s="43" t="str">
        <f>РазобратьJson(Егрюл[[#This Row],[JSON Исходник]],"suggestions",1,"data","address","unrestricted_value")</f>
        <v>117312, г Москва, Академический р-н, ул Вавилова, д 19</v>
      </c>
      <c r="AO8" s="43" t="str">
        <f>РазобратьJson(Егрюл[[#This Row],[JSON Исходник]],"suggestions",1,"data","address","data","source")</f>
        <v>117312, ГОРОД МОСКВА, УЛ. ВАВИЛОВА, Д.19</v>
      </c>
      <c r="AP8" s="23" t="str">
        <f>IF(РазобратьJson(Егрюл[[#This Row],[JSON Исходник]],"suggestions",1,"data","address","data","qc")="0","Распознан","Надо проверить")</f>
        <v>Распознан</v>
      </c>
      <c r="AQ8" s="23" t="str">
        <f>IF(Егрюл[[#This Row],[my_Должность руководителя]]&lt;&gt;"",Егрюл[[#This Row],[my_Должность руководителя]],
IF(Егрюл[[#This Row],[Должность руководителя.Json]]&lt;&gt;"",
REPLACE(LOWER(Егрюл[[#This Row],[Должность руководителя.Json]]),1,1,UPPER(MID(Егрюл[[#This Row],[Должность руководителя.Json]],1,1))),
""))</f>
        <v>Президент, председатель правления</v>
      </c>
      <c r="AR8" s="23" t="str">
        <f>РазобратьJson(Егрюл[[#This Row],[JSON Исходник]],"suggestions",1,"data","management","post")</f>
        <v>ПРЕЗИДЕНТ, ПРЕДСЕДАТЕЛЬ ПРАВЛЕНИЯ</v>
      </c>
      <c r="AS8" s="24"/>
      <c r="AT8" s="23" t="str">
        <f>IF(Егрюл[[#This Row],[Руководитель.Json]]&lt;&gt;"",Егрюл[[#This Row],[Руководитель.Json]],Егрюл[[#This Row],[Название полное]])</f>
        <v>Греф Герман Оскарович</v>
      </c>
      <c r="AU8" s="23" t="str">
        <f>РазобратьJson(Егрюл[[#This Row],[JSON Исходник]],"suggestions",1,"data","management","name")</f>
        <v>Греф Герман Оскарович</v>
      </c>
      <c r="AV8" s="23" t="str">
        <f>IF(Егрюл[[#This Row],[Статус.Json]]="ACTIVE","Действующая",IF(Егрюл[[#This Row],[Статус.Json]]="LIQUIDATING","Ликвидируемая",IF(Егрюл[[#This Row],[Статус.Json]]="LIQUIDATED","Ликвидированная","Присоединяемая")))</f>
        <v>Действующая</v>
      </c>
      <c r="AW8" s="34" t="str">
        <f>РазобратьJson(Егрюл[[#This Row],[JSON Исходник]],"suggestions",1,"data","state","status")</f>
        <v>ACTIVE</v>
      </c>
    </row>
  </sheetData>
  <sheetProtection formatCells="0" formatColumns="0" formatRows="0" insertRows="0" insertHyperlinks="0" deleteRows="0" sort="0" autoFilter="0" pivotTables="0"/>
  <dataConsolidate/>
  <conditionalFormatting sqref="A2:AV8">
    <cfRule type="expression" dxfId="24" priority="15">
      <formula>($AV2&lt;&gt;"Действующая")</formula>
    </cfRule>
  </conditionalFormatting>
  <conditionalFormatting sqref="AK2:AL8">
    <cfRule type="expression" dxfId="23" priority="14">
      <formula>AND($AP2="Надо проверить",$AM2="")</formula>
    </cfRule>
  </conditionalFormatting>
  <conditionalFormatting sqref="F2:F8">
    <cfRule type="expression" dxfId="22" priority="12">
      <formula>AND(UPPER($E2)&lt;&gt;UPPER($F2), $E2&lt;&gt;"")</formula>
    </cfRule>
  </conditionalFormatting>
  <conditionalFormatting sqref="I2:I8">
    <cfRule type="expression" dxfId="21" priority="11">
      <formula>UPPER($H2)&lt;&gt;UPPER($I2)</formula>
    </cfRule>
  </conditionalFormatting>
  <conditionalFormatting sqref="L2:L8">
    <cfRule type="expression" dxfId="20" priority="5">
      <formula>TRIM(SUBSTITUTE(SUBSTITUTE(" "&amp; SUBSTITUTE( $K2, IF($E2&lt;&gt;"",$E2,$G2),$D2) &amp;" ",     " """,     " «"),  """ ",  "» "))&lt;&gt;UPPER($L2)</formula>
    </cfRule>
  </conditionalFormatting>
  <conditionalFormatting sqref="O2:O8">
    <cfRule type="expression" dxfId="19" priority="2">
      <formula>TRIM(  SUBSTITUTE(   SUBSTITUTE(     " "&amp;SUBSTITUTE(       SUBSTITUTE(          $N2,          UPPER($S2),          $S2),        $H2,        $G2)     &amp;" ",     " """,     " «"),  """ ",  "» "))&lt;&gt;UPPER($O2)</formula>
    </cfRule>
  </conditionalFormatting>
  <conditionalFormatting sqref="A2:A8">
    <cfRule type="duplicateValues" dxfId="18" priority="230"/>
  </conditionalFormatting>
  <pageMargins left="0.70866141732283472" right="0.70866141732283472" top="0.74803149606299213" bottom="0.74803149606299213" header="0.31496062992125984" footer="0.31496062992125984"/>
  <pageSetup paperSize="9" scale="70" fitToWidth="3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1"/>
  <dimension ref="A1:B24"/>
  <sheetViews>
    <sheetView workbookViewId="0">
      <selection activeCell="B25" sqref="B25"/>
    </sheetView>
  </sheetViews>
  <sheetFormatPr defaultRowHeight="12.75" x14ac:dyDescent="0.2"/>
  <cols>
    <col min="1" max="1" width="51.5" customWidth="1"/>
    <col min="2" max="2" width="57.6640625" customWidth="1"/>
  </cols>
  <sheetData>
    <row r="1" spans="1:2" x14ac:dyDescent="0.2">
      <c r="A1" t="s">
        <v>29</v>
      </c>
      <c r="B1" t="s">
        <v>34</v>
      </c>
    </row>
    <row r="2" spans="1:2" x14ac:dyDescent="0.2">
      <c r="A2" t="s">
        <v>121</v>
      </c>
      <c r="B2" t="s">
        <v>121</v>
      </c>
    </row>
    <row r="3" spans="1:2" x14ac:dyDescent="0.2">
      <c r="A3" t="s">
        <v>122</v>
      </c>
      <c r="B3" t="s">
        <v>122</v>
      </c>
    </row>
    <row r="4" spans="1:2" x14ac:dyDescent="0.2">
      <c r="A4" t="s">
        <v>63</v>
      </c>
      <c r="B4" t="s">
        <v>63</v>
      </c>
    </row>
    <row r="5" spans="1:2" x14ac:dyDescent="0.2">
      <c r="A5" t="s">
        <v>28</v>
      </c>
      <c r="B5" t="s">
        <v>36</v>
      </c>
    </row>
    <row r="6" spans="1:2" x14ac:dyDescent="0.2">
      <c r="A6" t="s">
        <v>123</v>
      </c>
      <c r="B6" t="s">
        <v>124</v>
      </c>
    </row>
    <row r="7" spans="1:2" x14ac:dyDescent="0.2">
      <c r="A7" t="s">
        <v>125</v>
      </c>
      <c r="B7" t="s">
        <v>126</v>
      </c>
    </row>
    <row r="8" spans="1:2" x14ac:dyDescent="0.2">
      <c r="A8" t="s">
        <v>31</v>
      </c>
      <c r="B8" t="s">
        <v>35</v>
      </c>
    </row>
    <row r="9" spans="1:2" x14ac:dyDescent="0.2">
      <c r="A9" t="s">
        <v>127</v>
      </c>
      <c r="B9" t="s">
        <v>128</v>
      </c>
    </row>
    <row r="10" spans="1:2" x14ac:dyDescent="0.2">
      <c r="A10" t="s">
        <v>129</v>
      </c>
      <c r="B10" t="s">
        <v>130</v>
      </c>
    </row>
    <row r="11" spans="1:2" x14ac:dyDescent="0.2">
      <c r="A11" t="s">
        <v>131</v>
      </c>
      <c r="B11" t="s">
        <v>132</v>
      </c>
    </row>
    <row r="12" spans="1:2" ht="25.5" x14ac:dyDescent="0.2">
      <c r="A12" t="s">
        <v>30</v>
      </c>
      <c r="B12" s="9" t="s">
        <v>43</v>
      </c>
    </row>
    <row r="13" spans="1:2" x14ac:dyDescent="0.2">
      <c r="A13" t="s">
        <v>133</v>
      </c>
      <c r="B13" t="s">
        <v>133</v>
      </c>
    </row>
    <row r="14" spans="1:2" x14ac:dyDescent="0.2">
      <c r="A14" t="s">
        <v>134</v>
      </c>
      <c r="B14" t="s">
        <v>134</v>
      </c>
    </row>
    <row r="15" spans="1:2" x14ac:dyDescent="0.2">
      <c r="A15" t="s">
        <v>135</v>
      </c>
      <c r="B15" t="s">
        <v>138</v>
      </c>
    </row>
    <row r="16" spans="1:2" x14ac:dyDescent="0.2">
      <c r="A16" t="s">
        <v>136</v>
      </c>
      <c r="B16" t="s">
        <v>139</v>
      </c>
    </row>
    <row r="17" spans="1:2" x14ac:dyDescent="0.2">
      <c r="A17" t="s">
        <v>41</v>
      </c>
      <c r="B17" t="s">
        <v>42</v>
      </c>
    </row>
    <row r="18" spans="1:2" x14ac:dyDescent="0.2">
      <c r="A18" t="s">
        <v>39</v>
      </c>
      <c r="B18" t="s">
        <v>40</v>
      </c>
    </row>
    <row r="19" spans="1:2" x14ac:dyDescent="0.2">
      <c r="A19" t="s">
        <v>33</v>
      </c>
      <c r="B19" t="s">
        <v>37</v>
      </c>
    </row>
    <row r="20" spans="1:2" x14ac:dyDescent="0.2">
      <c r="A20" t="s">
        <v>137</v>
      </c>
      <c r="B20" t="s">
        <v>140</v>
      </c>
    </row>
    <row r="21" spans="1:2" x14ac:dyDescent="0.2">
      <c r="A21" t="s">
        <v>19</v>
      </c>
      <c r="B21" t="s">
        <v>38</v>
      </c>
    </row>
    <row r="22" spans="1:2" x14ac:dyDescent="0.2">
      <c r="A22" t="s">
        <v>64</v>
      </c>
      <c r="B22" t="s">
        <v>67</v>
      </c>
    </row>
    <row r="23" spans="1:2" x14ac:dyDescent="0.2">
      <c r="A23" t="s">
        <v>141</v>
      </c>
      <c r="B23" t="s">
        <v>143</v>
      </c>
    </row>
    <row r="24" spans="1:2" x14ac:dyDescent="0.2">
      <c r="A24" t="s">
        <v>142</v>
      </c>
      <c r="B24" t="s">
        <v>144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2"/>
  <dimension ref="A1:D14"/>
  <sheetViews>
    <sheetView workbookViewId="0">
      <selection activeCell="C28" sqref="C28"/>
    </sheetView>
  </sheetViews>
  <sheetFormatPr defaultRowHeight="12.75" x14ac:dyDescent="0.2"/>
  <cols>
    <col min="2" max="2" width="45" customWidth="1"/>
    <col min="3" max="3" width="50.5" customWidth="1"/>
    <col min="4" max="4" width="43" customWidth="1"/>
  </cols>
  <sheetData>
    <row r="1" spans="1:4" x14ac:dyDescent="0.2">
      <c r="A1" t="s">
        <v>45</v>
      </c>
      <c r="B1" t="s">
        <v>52</v>
      </c>
      <c r="C1" t="s">
        <v>57</v>
      </c>
      <c r="D1" t="s">
        <v>58</v>
      </c>
    </row>
    <row r="2" spans="1:4" x14ac:dyDescent="0.2">
      <c r="A2" t="s">
        <v>46</v>
      </c>
      <c r="B2" t="s">
        <v>49</v>
      </c>
      <c r="C2" t="s">
        <v>53</v>
      </c>
      <c r="D2" t="s">
        <v>59</v>
      </c>
    </row>
    <row r="3" spans="1:4" x14ac:dyDescent="0.2">
      <c r="A3" t="s">
        <v>51</v>
      </c>
      <c r="B3" t="s">
        <v>32</v>
      </c>
      <c r="C3" t="s">
        <v>54</v>
      </c>
      <c r="D3" t="s">
        <v>60</v>
      </c>
    </row>
    <row r="4" spans="1:4" x14ac:dyDescent="0.2">
      <c r="A4" t="s">
        <v>44</v>
      </c>
      <c r="B4" t="s">
        <v>48</v>
      </c>
      <c r="C4" t="s">
        <v>55</v>
      </c>
      <c r="D4" t="s">
        <v>61</v>
      </c>
    </row>
    <row r="5" spans="1:4" x14ac:dyDescent="0.2">
      <c r="A5" t="s">
        <v>47</v>
      </c>
      <c r="B5" t="s">
        <v>50</v>
      </c>
      <c r="C5" t="s">
        <v>56</v>
      </c>
      <c r="D5" t="s">
        <v>62</v>
      </c>
    </row>
    <row r="6" spans="1:4" x14ac:dyDescent="0.2">
      <c r="A6" t="s">
        <v>84</v>
      </c>
      <c r="B6" t="s">
        <v>85</v>
      </c>
      <c r="C6" t="s">
        <v>101</v>
      </c>
      <c r="D6" t="s">
        <v>102</v>
      </c>
    </row>
    <row r="7" spans="1:4" x14ac:dyDescent="0.2">
      <c r="A7" t="s">
        <v>86</v>
      </c>
      <c r="B7" t="s">
        <v>87</v>
      </c>
      <c r="C7" t="s">
        <v>109</v>
      </c>
      <c r="D7" t="s">
        <v>110</v>
      </c>
    </row>
    <row r="8" spans="1:4" x14ac:dyDescent="0.2">
      <c r="A8" t="s">
        <v>88</v>
      </c>
      <c r="B8" t="s">
        <v>89</v>
      </c>
      <c r="C8" t="s">
        <v>111</v>
      </c>
      <c r="D8" t="s">
        <v>112</v>
      </c>
    </row>
    <row r="9" spans="1:4" x14ac:dyDescent="0.2">
      <c r="A9" t="s">
        <v>90</v>
      </c>
      <c r="B9" t="s">
        <v>91</v>
      </c>
      <c r="C9" t="s">
        <v>113</v>
      </c>
      <c r="D9" t="s">
        <v>114</v>
      </c>
    </row>
    <row r="10" spans="1:4" x14ac:dyDescent="0.2">
      <c r="A10" t="s">
        <v>92</v>
      </c>
      <c r="B10" t="s">
        <v>93</v>
      </c>
      <c r="C10" t="s">
        <v>115</v>
      </c>
      <c r="D10" t="s">
        <v>116</v>
      </c>
    </row>
    <row r="11" spans="1:4" x14ac:dyDescent="0.2">
      <c r="A11" t="s">
        <v>84</v>
      </c>
      <c r="B11" t="s">
        <v>94</v>
      </c>
      <c r="C11" t="s">
        <v>103</v>
      </c>
      <c r="D11" t="s">
        <v>106</v>
      </c>
    </row>
    <row r="12" spans="1:4" x14ac:dyDescent="0.2">
      <c r="A12" t="s">
        <v>95</v>
      </c>
      <c r="B12" t="s">
        <v>96</v>
      </c>
      <c r="C12" t="s">
        <v>104</v>
      </c>
      <c r="D12" t="s">
        <v>107</v>
      </c>
    </row>
    <row r="13" spans="1:4" x14ac:dyDescent="0.2">
      <c r="A13" t="s">
        <v>97</v>
      </c>
      <c r="B13" t="s">
        <v>98</v>
      </c>
      <c r="C13" t="s">
        <v>105</v>
      </c>
      <c r="D13" t="s">
        <v>108</v>
      </c>
    </row>
    <row r="14" spans="1:4" x14ac:dyDescent="0.2">
      <c r="A14" t="s">
        <v>99</v>
      </c>
      <c r="B14" t="s">
        <v>100</v>
      </c>
      <c r="C14" t="s">
        <v>117</v>
      </c>
      <c r="D14" t="s">
        <v>118</v>
      </c>
    </row>
  </sheetData>
  <sortState xmlns:xlrd2="http://schemas.microsoft.com/office/spreadsheetml/2017/richdata2" ref="A1:B5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W8"/>
  <sheetViews>
    <sheetView workbookViewId="0">
      <selection activeCell="C7" sqref="C7"/>
    </sheetView>
  </sheetViews>
  <sheetFormatPr defaultRowHeight="12.75" x14ac:dyDescent="0.2"/>
  <cols>
    <col min="1" max="2" width="24.83203125" bestFit="1" customWidth="1"/>
    <col min="3" max="3" width="81.33203125" customWidth="1"/>
    <col min="4" max="4" width="26" bestFit="1" customWidth="1"/>
    <col min="5" max="5" width="81.33203125" customWidth="1"/>
    <col min="6" max="6" width="17" bestFit="1" customWidth="1"/>
    <col min="7" max="7" width="73.83203125" bestFit="1" customWidth="1"/>
    <col min="8" max="8" width="16.33203125" bestFit="1" customWidth="1"/>
    <col min="9" max="9" width="14.6640625" bestFit="1" customWidth="1"/>
    <col min="10" max="10" width="13.33203125" bestFit="1" customWidth="1"/>
    <col min="11" max="11" width="10.1640625" bestFit="1" customWidth="1"/>
    <col min="12" max="12" width="11.5" bestFit="1" customWidth="1"/>
    <col min="13" max="13" width="18.6640625" bestFit="1" customWidth="1"/>
    <col min="14" max="14" width="19.83203125" bestFit="1" customWidth="1"/>
    <col min="15" max="15" width="22.6640625" bestFit="1" customWidth="1"/>
    <col min="16" max="16" width="10.83203125" bestFit="1" customWidth="1"/>
    <col min="17" max="17" width="48.5" bestFit="1" customWidth="1"/>
    <col min="18" max="18" width="73" bestFit="1" customWidth="1"/>
    <col min="19" max="19" width="81.33203125" customWidth="1"/>
    <col min="20" max="20" width="34.5" bestFit="1" customWidth="1"/>
    <col min="21" max="21" width="35.1640625" bestFit="1" customWidth="1"/>
    <col min="22" max="22" width="34.33203125" bestFit="1" customWidth="1"/>
    <col min="23" max="23" width="18.1640625" bestFit="1" customWidth="1"/>
    <col min="24" max="24" width="34.5" bestFit="1" customWidth="1"/>
    <col min="25" max="25" width="14.33203125" bestFit="1" customWidth="1"/>
    <col min="26" max="26" width="14.5" bestFit="1" customWidth="1"/>
  </cols>
  <sheetData>
    <row r="1" spans="1:23" x14ac:dyDescent="0.2">
      <c r="A1" t="s">
        <v>150</v>
      </c>
      <c r="B1" t="s">
        <v>2</v>
      </c>
      <c r="C1" t="s">
        <v>17</v>
      </c>
      <c r="D1" t="s">
        <v>1</v>
      </c>
      <c r="E1" t="s">
        <v>16</v>
      </c>
      <c r="F1" t="s">
        <v>72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21</v>
      </c>
      <c r="Q1" t="s">
        <v>12</v>
      </c>
      <c r="R1" t="s">
        <v>13</v>
      </c>
      <c r="S1" t="s">
        <v>14</v>
      </c>
      <c r="T1" t="s">
        <v>15</v>
      </c>
      <c r="U1" t="s">
        <v>18</v>
      </c>
      <c r="V1" t="s">
        <v>19</v>
      </c>
      <c r="W1" t="s">
        <v>20</v>
      </c>
    </row>
    <row r="2" spans="1:23" x14ac:dyDescent="0.2">
      <c r="A2" s="14" t="s">
        <v>149</v>
      </c>
      <c r="B2" s="14" t="s">
        <v>149</v>
      </c>
      <c r="C2" s="14" t="s">
        <v>179</v>
      </c>
      <c r="D2" s="14" t="s">
        <v>180</v>
      </c>
      <c r="E2" s="14" t="s">
        <v>181</v>
      </c>
      <c r="F2" s="14" t="s">
        <v>51</v>
      </c>
      <c r="G2" s="14" t="s">
        <v>32</v>
      </c>
      <c r="H2" s="14" t="s">
        <v>182</v>
      </c>
      <c r="I2" s="15">
        <v>42976</v>
      </c>
      <c r="J2" t="s">
        <v>183</v>
      </c>
      <c r="K2" t="s">
        <v>149</v>
      </c>
      <c r="L2" s="14" t="s">
        <v>184</v>
      </c>
      <c r="M2">
        <v>2014</v>
      </c>
      <c r="N2">
        <v>0</v>
      </c>
      <c r="O2" s="14" t="s">
        <v>148</v>
      </c>
      <c r="P2">
        <v>141895</v>
      </c>
      <c r="Q2" s="14" t="s">
        <v>185</v>
      </c>
      <c r="R2" s="14" t="s">
        <v>186</v>
      </c>
      <c r="S2" s="14" t="s">
        <v>187</v>
      </c>
      <c r="T2" s="14" t="s">
        <v>146</v>
      </c>
      <c r="U2" s="14" t="s">
        <v>149</v>
      </c>
      <c r="V2" s="14" t="s">
        <v>149</v>
      </c>
      <c r="W2" s="14" t="s">
        <v>147</v>
      </c>
    </row>
    <row r="3" spans="1:23" x14ac:dyDescent="0.2">
      <c r="A3" s="14" t="s">
        <v>166</v>
      </c>
      <c r="B3" s="14" t="s">
        <v>166</v>
      </c>
      <c r="C3" s="14" t="s">
        <v>166</v>
      </c>
      <c r="D3" s="14" t="s">
        <v>188</v>
      </c>
      <c r="E3" s="14" t="s">
        <v>189</v>
      </c>
      <c r="F3" s="14" t="s">
        <v>47</v>
      </c>
      <c r="G3" s="14" t="s">
        <v>50</v>
      </c>
      <c r="H3" s="14" t="s">
        <v>190</v>
      </c>
      <c r="I3" s="15">
        <v>37470</v>
      </c>
      <c r="J3" t="s">
        <v>191</v>
      </c>
      <c r="K3" t="s">
        <v>192</v>
      </c>
      <c r="L3" s="14" t="s">
        <v>193</v>
      </c>
      <c r="M3">
        <v>2014</v>
      </c>
      <c r="N3">
        <v>15</v>
      </c>
      <c r="O3" s="14" t="s">
        <v>145</v>
      </c>
      <c r="P3">
        <v>197229</v>
      </c>
      <c r="Q3" s="14" t="s">
        <v>194</v>
      </c>
      <c r="R3" s="14" t="s">
        <v>195</v>
      </c>
      <c r="S3" s="14" t="s">
        <v>196</v>
      </c>
      <c r="T3" s="14" t="s">
        <v>146</v>
      </c>
      <c r="U3" s="14" t="s">
        <v>197</v>
      </c>
      <c r="V3" s="14" t="s">
        <v>198</v>
      </c>
      <c r="W3" s="14" t="s">
        <v>147</v>
      </c>
    </row>
    <row r="4" spans="1:23" x14ac:dyDescent="0.2">
      <c r="A4" s="14" t="s">
        <v>199</v>
      </c>
      <c r="B4" s="14" t="s">
        <v>199</v>
      </c>
      <c r="C4" s="14" t="s">
        <v>200</v>
      </c>
      <c r="D4" s="14" t="s">
        <v>199</v>
      </c>
      <c r="E4" s="14" t="s">
        <v>200</v>
      </c>
      <c r="F4" s="14" t="s">
        <v>201</v>
      </c>
      <c r="G4" s="14" t="s">
        <v>202</v>
      </c>
      <c r="H4" s="14" t="s">
        <v>203</v>
      </c>
      <c r="I4" s="15">
        <v>39057</v>
      </c>
      <c r="J4" t="s">
        <v>204</v>
      </c>
      <c r="K4" t="s">
        <v>152</v>
      </c>
      <c r="L4" s="14" t="s">
        <v>205</v>
      </c>
      <c r="M4">
        <v>2014</v>
      </c>
      <c r="N4">
        <v>0</v>
      </c>
      <c r="O4" s="14" t="s">
        <v>145</v>
      </c>
      <c r="P4">
        <v>107078</v>
      </c>
      <c r="Q4" s="14" t="s">
        <v>206</v>
      </c>
      <c r="R4" s="14" t="s">
        <v>207</v>
      </c>
      <c r="S4" s="14" t="s">
        <v>208</v>
      </c>
      <c r="T4" s="14" t="s">
        <v>146</v>
      </c>
      <c r="U4" s="14" t="s">
        <v>209</v>
      </c>
      <c r="V4" s="14" t="s">
        <v>210</v>
      </c>
      <c r="W4" s="14" t="s">
        <v>147</v>
      </c>
    </row>
    <row r="5" spans="1:23" x14ac:dyDescent="0.2">
      <c r="A5" s="14" t="s">
        <v>211</v>
      </c>
      <c r="B5" s="14" t="s">
        <v>211</v>
      </c>
      <c r="C5" s="14" t="s">
        <v>212</v>
      </c>
      <c r="D5" s="14" t="s">
        <v>213</v>
      </c>
      <c r="E5" s="14" t="s">
        <v>214</v>
      </c>
      <c r="F5" s="14" t="s">
        <v>44</v>
      </c>
      <c r="G5" s="14" t="s">
        <v>48</v>
      </c>
      <c r="H5" s="14" t="s">
        <v>215</v>
      </c>
      <c r="I5" s="15">
        <v>38306</v>
      </c>
      <c r="J5" t="s">
        <v>216</v>
      </c>
      <c r="K5" t="s">
        <v>217</v>
      </c>
      <c r="L5" s="14" t="s">
        <v>218</v>
      </c>
      <c r="M5">
        <v>2001</v>
      </c>
      <c r="N5">
        <v>0</v>
      </c>
      <c r="O5" s="14" t="s">
        <v>145</v>
      </c>
      <c r="P5">
        <v>127434</v>
      </c>
      <c r="Q5" s="14" t="s">
        <v>219</v>
      </c>
      <c r="R5" s="14" t="s">
        <v>220</v>
      </c>
      <c r="S5" s="14" t="s">
        <v>221</v>
      </c>
      <c r="T5" s="14" t="s">
        <v>146</v>
      </c>
      <c r="U5" s="14" t="s">
        <v>28</v>
      </c>
      <c r="V5" s="14" t="s">
        <v>222</v>
      </c>
      <c r="W5" s="14" t="s">
        <v>223</v>
      </c>
    </row>
    <row r="6" spans="1:23" x14ac:dyDescent="0.2">
      <c r="A6" s="14" t="s">
        <v>174</v>
      </c>
      <c r="B6" s="14" t="s">
        <v>174</v>
      </c>
      <c r="C6" s="14" t="s">
        <v>224</v>
      </c>
      <c r="D6" s="14" t="s">
        <v>174</v>
      </c>
      <c r="E6" s="14" t="s">
        <v>224</v>
      </c>
      <c r="F6" s="14" t="s">
        <v>225</v>
      </c>
      <c r="G6" s="14" t="s">
        <v>226</v>
      </c>
      <c r="H6" s="14" t="s">
        <v>227</v>
      </c>
      <c r="I6" s="15">
        <v>37608</v>
      </c>
      <c r="J6" t="s">
        <v>172</v>
      </c>
      <c r="K6" t="s">
        <v>228</v>
      </c>
      <c r="L6" s="14" t="s">
        <v>229</v>
      </c>
      <c r="M6">
        <v>2014</v>
      </c>
      <c r="N6">
        <v>0</v>
      </c>
      <c r="O6" s="14" t="s">
        <v>145</v>
      </c>
      <c r="P6">
        <v>125032</v>
      </c>
      <c r="Q6" s="14" t="s">
        <v>230</v>
      </c>
      <c r="R6" s="14" t="s">
        <v>231</v>
      </c>
      <c r="S6" s="14" t="s">
        <v>232</v>
      </c>
      <c r="T6" s="14" t="s">
        <v>146</v>
      </c>
      <c r="U6" s="14" t="s">
        <v>233</v>
      </c>
      <c r="V6" s="14" t="s">
        <v>234</v>
      </c>
      <c r="W6" s="14" t="s">
        <v>147</v>
      </c>
    </row>
    <row r="7" spans="1:23" x14ac:dyDescent="0.2">
      <c r="A7" s="14" t="s">
        <v>235</v>
      </c>
      <c r="B7" s="14" t="s">
        <v>235</v>
      </c>
      <c r="C7" s="14" t="s">
        <v>236</v>
      </c>
      <c r="D7" s="14" t="s">
        <v>237</v>
      </c>
      <c r="E7" s="14" t="s">
        <v>238</v>
      </c>
      <c r="F7" s="14" t="s">
        <v>47</v>
      </c>
      <c r="G7" s="14" t="s">
        <v>50</v>
      </c>
      <c r="H7" s="14" t="s">
        <v>239</v>
      </c>
      <c r="I7" s="15">
        <v>37484</v>
      </c>
      <c r="J7" t="s">
        <v>240</v>
      </c>
      <c r="K7" t="s">
        <v>151</v>
      </c>
      <c r="L7" s="14" t="s">
        <v>241</v>
      </c>
      <c r="M7">
        <v>2014</v>
      </c>
      <c r="N7">
        <v>86</v>
      </c>
      <c r="O7" s="14" t="s">
        <v>145</v>
      </c>
      <c r="P7">
        <v>117312</v>
      </c>
      <c r="Q7" s="14" t="s">
        <v>242</v>
      </c>
      <c r="R7" s="14" t="s">
        <v>243</v>
      </c>
      <c r="S7" s="14" t="s">
        <v>244</v>
      </c>
      <c r="T7" s="14" t="s">
        <v>146</v>
      </c>
      <c r="U7" s="14" t="s">
        <v>33</v>
      </c>
      <c r="V7" s="14" t="s">
        <v>245</v>
      </c>
      <c r="W7" s="14" t="s">
        <v>147</v>
      </c>
    </row>
    <row r="8" spans="1:23" x14ac:dyDescent="0.2">
      <c r="A8" s="14" t="s">
        <v>235</v>
      </c>
      <c r="B8" s="14" t="s">
        <v>235</v>
      </c>
      <c r="C8" s="14" t="s">
        <v>236</v>
      </c>
      <c r="D8" s="14" t="s">
        <v>237</v>
      </c>
      <c r="E8" s="14" t="s">
        <v>238</v>
      </c>
      <c r="F8" s="14" t="s">
        <v>47</v>
      </c>
      <c r="G8" s="14" t="s">
        <v>50</v>
      </c>
      <c r="H8" s="14" t="s">
        <v>239</v>
      </c>
      <c r="I8" s="15">
        <v>37484</v>
      </c>
      <c r="J8" t="s">
        <v>240</v>
      </c>
      <c r="K8" t="s">
        <v>151</v>
      </c>
      <c r="L8" s="14" t="s">
        <v>241</v>
      </c>
      <c r="M8">
        <v>2014</v>
      </c>
      <c r="N8">
        <v>86</v>
      </c>
      <c r="O8" s="14" t="s">
        <v>145</v>
      </c>
      <c r="P8">
        <v>117312</v>
      </c>
      <c r="Q8" s="14" t="s">
        <v>242</v>
      </c>
      <c r="R8" s="14" t="s">
        <v>243</v>
      </c>
      <c r="S8" s="14" t="s">
        <v>244</v>
      </c>
      <c r="T8" s="14" t="s">
        <v>146</v>
      </c>
      <c r="U8" s="14" t="s">
        <v>33</v>
      </c>
      <c r="V8" s="14" t="s">
        <v>245</v>
      </c>
      <c r="W8" s="14" t="s">
        <v>147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A32-F7CB-471D-A1DC-5D2CF9AD499F}">
  <sheetPr codeName="Лист3"/>
  <dimension ref="A1:B9"/>
  <sheetViews>
    <sheetView tabSelected="1" workbookViewId="0">
      <selection activeCell="B8" sqref="B8"/>
    </sheetView>
  </sheetViews>
  <sheetFormatPr defaultRowHeight="12.75" x14ac:dyDescent="0.2"/>
  <cols>
    <col min="1" max="1" width="37.83203125" customWidth="1"/>
    <col min="2" max="2" width="97" customWidth="1"/>
  </cols>
  <sheetData>
    <row r="1" spans="1:2" ht="15" x14ac:dyDescent="0.25">
      <c r="A1" s="17" t="s">
        <v>153</v>
      </c>
      <c r="B1" s="17" t="s">
        <v>154</v>
      </c>
    </row>
    <row r="2" spans="1:2" ht="15" x14ac:dyDescent="0.25">
      <c r="A2" s="18" t="s">
        <v>155</v>
      </c>
      <c r="B2" s="18" t="str">
        <f ca="1">CELL("имяфайла")</f>
        <v>D:\docs\maxim\prj\prog\dev\model\contragents\[contragents_org.xlsm]Export</v>
      </c>
    </row>
    <row r="3" spans="1:2" ht="15" x14ac:dyDescent="0.25">
      <c r="A3" s="18" t="s">
        <v>156</v>
      </c>
      <c r="B3" s="18" t="str">
        <f ca="1">IF(ISERROR(FIND("\",VLOOKUP("paramSheet",ParamsFile[],2,FALSE))),VLOOKUP("paramSheet",ParamsFile[],2,FALSE),RIGHT(VLOOKUP("paramSheet",ParamsFile[],2,FALSE),LEN(VLOOKUP("paramSheet",ParamsFile[],2,FALSE))-
FIND("~",SUBSTITUTE(VLOOKUP("paramSheet",ParamsFile[],2,FALSE),"\","~",LEN(VLOOKUP("paramSheet",ParamsFile[],2,FALSE))-LEN(SUBSTITUTE(VLOOKUP("paramSheet",ParamsFile[],2,FALSE),"\",""))))))</f>
        <v>[contragents_org.xlsm]Export</v>
      </c>
    </row>
    <row r="4" spans="1:2" ht="15" x14ac:dyDescent="0.25">
      <c r="A4" s="18" t="s">
        <v>157</v>
      </c>
      <c r="B4" s="18" t="str">
        <f ca="1">SUBSTITUTE(VLOOKUP("paramSheet",ParamsFile[],2,FALSE),VLOOKUP("curFileAndSheet",ParamsFile[],2,FALSE),"")</f>
        <v>D:\docs\maxim\prj\prog\dev\model\contragents\</v>
      </c>
    </row>
    <row r="5" spans="1:2" ht="15" x14ac:dyDescent="0.25">
      <c r="A5" s="18" t="s">
        <v>158</v>
      </c>
      <c r="B5" s="18" t="str">
        <f ca="1">REPLACE(VLOOKUP("curFileAndSheet",ParamsFile[],2,FALSE),1,SEARCH(".xlsm]",VLOOKUP("curFileAndSheet",ParamsFile[],2,FALSE),1)+LEN(".xlsm]")-1,"")</f>
        <v>Export</v>
      </c>
    </row>
    <row r="6" spans="1:2" ht="15" x14ac:dyDescent="0.25">
      <c r="A6" s="18" t="s">
        <v>159</v>
      </c>
      <c r="B6" s="18" t="str">
        <f ca="1">REPLACE(REPLACE(SUBSTITUTE(VLOOKUP("curFileAndSheet",ParamsFile[],2,FALSE),VLOOKUP("paramSheetName",ParamsFile[],2,FALSE),""),LEN(SUBSTITUTE(VLOOKUP("curFileAndSheet",ParamsFile[],2,FALSE),VLOOKUP("paramSheetName",ParamsFile[],2,FALSE),"")),1,""),1,1,"")</f>
        <v>contragents_org.xlsm</v>
      </c>
    </row>
    <row r="7" spans="1:2" ht="15" x14ac:dyDescent="0.25">
      <c r="A7" s="18" t="s">
        <v>160</v>
      </c>
      <c r="B7" s="18" t="s">
        <v>161</v>
      </c>
    </row>
    <row r="8" spans="1:2" ht="15" x14ac:dyDescent="0.25">
      <c r="A8" s="19" t="s">
        <v>162</v>
      </c>
      <c r="B8" s="19" t="s">
        <v>163</v>
      </c>
    </row>
    <row r="9" spans="1:2" ht="15" x14ac:dyDescent="0.25">
      <c r="A9" s="19" t="s">
        <v>164</v>
      </c>
      <c r="B9" s="19" t="s">
        <v>165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7D3468-8E7C-4911-BCD6-1C32765C8D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Егрюл</vt:lpstr>
      <vt:lpstr>Должности</vt:lpstr>
      <vt:lpstr>ОПФ</vt:lpstr>
      <vt:lpstr>Export</vt:lpstr>
      <vt:lpstr>Параметры</vt:lpstr>
      <vt:lpstr>Егрюл!Область_печати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Гришкин</dc:creator>
  <cp:lastModifiedBy>Гришкин</cp:lastModifiedBy>
  <cp:lastPrinted>2019-07-05T13:43:21Z</cp:lastPrinted>
  <dcterms:created xsi:type="dcterms:W3CDTF">2019-04-05T07:19:03Z</dcterms:created>
  <dcterms:modified xsi:type="dcterms:W3CDTF">2022-07-04T22:06:58Z</dcterms:modified>
</cp:coreProperties>
</file>