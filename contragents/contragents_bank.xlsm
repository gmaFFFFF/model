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fileSharing readOnlyRecommended="1"/>
  <workbookPr backupFile="1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docs\maxim\prj\prog\dev\model\contragents\"/>
    </mc:Choice>
  </mc:AlternateContent>
  <xr:revisionPtr revIDLastSave="0" documentId="13_ncr:1_{06607E7E-08EE-45F5-A95B-597E3F5793F2}" xr6:coauthVersionLast="47" xr6:coauthVersionMax="47" xr10:uidLastSave="{00000000-0000-0000-0000-000000000000}"/>
  <bookViews>
    <workbookView xWindow="-120" yWindow="-120" windowWidth="25440" windowHeight="15390" tabRatio="798" xr2:uid="{00000000-000D-0000-FFFF-FFFF00000000}"/>
  </bookViews>
  <sheets>
    <sheet name="Банки" sheetId="11" r:id="rId1"/>
    <sheet name="Параметры" sheetId="20" r:id="rId2"/>
  </sheets>
  <functionGroups builtInGroupCount="19"/>
  <externalReferences>
    <externalReference r:id="rId3"/>
  </externalReferences>
  <definedNames>
    <definedName name="RefBank" localSheetId="1">#REF!</definedName>
    <definedName name="RefBank">Банки!$A$2:$A$50</definedName>
    <definedName name="RefDocAgent" localSheetId="1">#REF!</definedName>
    <definedName name="RefDocAgent">#REF!</definedName>
    <definedName name="RefName" localSheetId="1">#REF!</definedName>
    <definedName name="RefName">#REF!</definedName>
    <definedName name="RefOrganization" localSheetId="1">[1]Егрюл!#REF!</definedName>
    <definedName name="RefOrganization">#REF!</definedName>
    <definedName name="RefPatronomic" localSheetId="1">#REF!</definedName>
    <definedName name="RefPatronomic">#REF!</definedName>
    <definedName name="RefPhisic" localSheetId="1">#REF!</definedName>
    <definedName name="RefPhisic">#REF!</definedName>
    <definedName name="RefSurname" localSheetId="1">#REF!</definedName>
    <definedName name="RefSurnam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0" l="1"/>
  <c r="B3" i="20" l="1"/>
  <c r="B5" i="20" l="1"/>
  <c r="B6" i="20" s="1"/>
  <c r="B4" i="20"/>
  <c r="H7" i="11" l="1"/>
  <c r="G10" i="11"/>
  <c r="S10" i="11"/>
  <c r="T12" i="11"/>
  <c r="S8" i="11"/>
  <c r="G8" i="11"/>
  <c r="T8" i="11"/>
  <c r="J6" i="11"/>
  <c r="L7" i="11"/>
  <c r="O12" i="11"/>
  <c r="M8" i="11"/>
  <c r="Q12" i="11"/>
  <c r="R6" i="11"/>
  <c r="E10" i="11"/>
  <c r="L6" i="11"/>
  <c r="J12" i="11"/>
  <c r="K12" i="11"/>
  <c r="H12" i="11"/>
  <c r="K8" i="11"/>
  <c r="T6" i="11"/>
  <c r="L12" i="11"/>
  <c r="H8" i="11"/>
  <c r="S6" i="11"/>
  <c r="K6" i="11"/>
  <c r="I10" i="11"/>
  <c r="D12" i="11"/>
  <c r="M6" i="11"/>
  <c r="S7" i="11"/>
  <c r="J10" i="11"/>
  <c r="E8" i="11"/>
  <c r="E12" i="11"/>
  <c r="D7" i="11"/>
  <c r="I7" i="11"/>
  <c r="I8" i="11"/>
  <c r="O8" i="11"/>
  <c r="Q8" i="11"/>
  <c r="Q6" i="11"/>
  <c r="R8" i="11"/>
  <c r="I12" i="11"/>
  <c r="L8" i="11"/>
  <c r="G12" i="11"/>
  <c r="G6" i="11"/>
  <c r="E6" i="11"/>
  <c r="Q10" i="11"/>
  <c r="M7" i="11"/>
  <c r="J7" i="11"/>
  <c r="O10" i="11"/>
  <c r="S12" i="11"/>
  <c r="R10" i="11"/>
  <c r="R12" i="11"/>
  <c r="M10" i="11"/>
  <c r="G7" i="11"/>
  <c r="I6" i="11"/>
  <c r="J8" i="11"/>
  <c r="T7" i="11"/>
  <c r="D10" i="11"/>
  <c r="T10" i="11"/>
  <c r="R7" i="11"/>
  <c r="M12" i="11"/>
  <c r="O6" i="11"/>
  <c r="D6" i="11"/>
  <c r="K10" i="11"/>
  <c r="L10" i="11"/>
  <c r="H6" i="11"/>
  <c r="D8" i="11"/>
  <c r="O7" i="11"/>
  <c r="Q7" i="11"/>
  <c r="K7" i="11"/>
  <c r="E7" i="11"/>
  <c r="H10" i="11"/>
  <c r="A12" i="11" l="1"/>
  <c r="A8" i="11"/>
  <c r="A7" i="11"/>
  <c r="A10" i="11"/>
  <c r="A6" i="11"/>
  <c r="E4" i="11"/>
  <c r="L9" i="11"/>
  <c r="M9" i="11"/>
  <c r="T4" i="11"/>
  <c r="O9" i="11"/>
  <c r="Q9" i="11"/>
  <c r="Q5" i="11"/>
  <c r="S11" i="11"/>
  <c r="J4" i="11"/>
  <c r="R3" i="11"/>
  <c r="I4" i="11"/>
  <c r="Q4" i="11"/>
  <c r="R5" i="11"/>
  <c r="J9" i="11"/>
  <c r="T5" i="11"/>
  <c r="S4" i="11"/>
  <c r="G11" i="11"/>
  <c r="K9" i="11"/>
  <c r="K3" i="11"/>
  <c r="D2" i="11"/>
  <c r="L11" i="11"/>
  <c r="M3" i="11"/>
  <c r="J5" i="11"/>
  <c r="K2" i="11"/>
  <c r="M11" i="11"/>
  <c r="I9" i="11"/>
  <c r="E2" i="11"/>
  <c r="S9" i="11"/>
  <c r="Q2" i="11"/>
  <c r="E5" i="11"/>
  <c r="S2" i="11"/>
  <c r="D11" i="11"/>
  <c r="R11" i="11"/>
  <c r="L5" i="11"/>
  <c r="H9" i="11"/>
  <c r="M2" i="11"/>
  <c r="M5" i="11"/>
  <c r="R4" i="11"/>
  <c r="H5" i="11"/>
  <c r="H11" i="11"/>
  <c r="E11" i="11"/>
  <c r="T3" i="11"/>
  <c r="T11" i="11"/>
  <c r="I11" i="11"/>
  <c r="E3" i="11"/>
  <c r="M4" i="11"/>
  <c r="T2" i="11"/>
  <c r="D9" i="11"/>
  <c r="R9" i="11"/>
  <c r="O2" i="11"/>
  <c r="K4" i="11"/>
  <c r="K11" i="11"/>
  <c r="E9" i="11"/>
  <c r="H3" i="11"/>
  <c r="L4" i="11"/>
  <c r="O3" i="11"/>
  <c r="L3" i="11"/>
  <c r="I5" i="11"/>
  <c r="S5" i="11"/>
  <c r="D4" i="11"/>
  <c r="O4" i="11"/>
  <c r="D3" i="11"/>
  <c r="T9" i="11"/>
  <c r="K5" i="11"/>
  <c r="H2" i="11"/>
  <c r="D5" i="11"/>
  <c r="J2" i="11"/>
  <c r="G2" i="11"/>
  <c r="O5" i="11"/>
  <c r="H4" i="11"/>
  <c r="R2" i="11"/>
  <c r="G3" i="11"/>
  <c r="G4" i="11"/>
  <c r="O11" i="11"/>
  <c r="I3" i="11"/>
  <c r="G5" i="11"/>
  <c r="Q3" i="11"/>
  <c r="S3" i="11"/>
  <c r="G9" i="11"/>
  <c r="Q11" i="11"/>
  <c r="J11" i="11"/>
  <c r="L2" i="11"/>
  <c r="I2" i="11"/>
  <c r="J3" i="11"/>
  <c r="A2" i="11" l="1"/>
  <c r="A4" i="11"/>
  <c r="A11" i="11"/>
  <c r="A5" i="11"/>
  <c r="A9" i="11"/>
  <c r="A3" i="11"/>
</calcChain>
</file>

<file path=xl/sharedStrings.xml><?xml version="1.0" encoding="utf-8"?>
<sst xmlns="http://schemas.openxmlformats.org/spreadsheetml/2006/main" count="4294967196" uniqueCount="56">
  <si>
    <t>Строка поиска</t>
  </si>
  <si>
    <t>Название краткое</t>
  </si>
  <si>
    <t>Тип подразделения</t>
  </si>
  <si>
    <t>Адрес</t>
  </si>
  <si>
    <t>Полный адрес</t>
  </si>
  <si>
    <t>Точность распознования адреса</t>
  </si>
  <si>
    <t>Статус</t>
  </si>
  <si>
    <t>Индекс</t>
  </si>
  <si>
    <t>JSON Исходник</t>
  </si>
  <si>
    <t>Сбербанк</t>
  </si>
  <si>
    <t>{"suggestions":[{"value":"СБЕРБАНК РОССИИ","unrestricted_value":"СБЕРБАНК РОССИИ","data":{"opf":{"type":"BANK","full":null,"short":null},"name":{"payment":"ПАО СБЕРБАНК","full":null,"short":"СБЕРБАНК РОССИИ"},"bic":"044525225","swift":"SABRRUMMXXX","okpo":null,"correspondent_account":"30101810400000000225","registration_number":"1481","rkc":null,"address":{"value":"г Москва, ул Вавилова, д 19","unrestricted_value":"г Москва, Академический р-н, ул Вавилова, д 19","data":{"postal_code":"117312","country":"Россия","region_fias_id":"0c5b2444-70a0-4932-980c-b4dc0d3f02b5","region_kladr_id":"7700000000000","region_with_type":"г Москва","region_type":"г","region_type_full":"город","region":"Москва","area_fias_id":null,"area_kladr_id":null,"area_with_type":null,"area_type":null,"area_type_full":null,"area":null,"city_fias_id":"0c5b2444-70a0-4932-980c-b4dc0d3f02b5","city_kladr_id":"7700000000000","city_with_type":"г Москва","city_type":"г","city_type_full":"город","city":"Москва","city_area":"Юго-западный","city_district_fias_id":null,"city_district_kladr_id":null,"city_district_with_type":"Академический р-н","city_district_type":"р-н","city_district_type_full":"район","city_district":"Академический","settlement_fias_id":null,"settlement_kladr_id":null,"settlement_with_type":null,"settlement_type":null,"settlement_type_full":null,"settlement":null,"street_fias_id":"25f8f29b-b110-40ab-a48e-9c72f5fb4331","street_kladr_id":"77000000000092400","street_with_type":"ул Вавилова","street_type":"ул","street_type_full":"улица","street":"Вавилова","house_fias_id":"93409d8c-d8d4-4491-838f-f9aa1678b5e6","house_kladr_id":"7700000000009240170","house_type":"д","house_type_full":"дом","house":"19","block_type":null,"block_type_full":null,"block":null,"flat_type":null,"flat_type_full":null,"flat":null,"flat_area":null,"square_meter_price":null,"flat_price":null,"postal_box":null,"fias_id":"93409d8c-d8d4-4491-838f-f9aa1678b5e6","fias_code":"77000000000000009240170","fias_level":"8","fias_actuality_state":"0","kladr_id":"7700000000009240170","geoname_id":null,"capital_marker":"0","okato":"45293554000","oktmo":"45397000","tax_office":"7736","tax_office_legal":"7736","timezone":"UTC+3","geo_lat":"55.7001865","geo_lon":"37.5802234","beltway_hit":"IN_MKAD","beltway_distance":null,"metro":[{"name":"Ленинский проспект","line":"Калужско-Рижская","distance":0.8},{"name":"Площадь Гагарина","line":"МЦК","distance":0.8},{"name":"Академическая","line":"Калужско-Рижская","distance":1.5}],"qc_geo":"0","qc_complete":"5","qc_house":"2","history_values":null,"unparsed_parts":null,"source":"117997, Москва, ул Вавилова, 19","qc":"0"}},"phones":null,"state":{"status":"ACTIVE","actuality_date":1554422400000,"registration_date":677376000000,"liquidation_date":null}}}]}</t>
  </si>
  <si>
    <t>Платежное наименование</t>
  </si>
  <si>
    <t>БИК</t>
  </si>
  <si>
    <t>Корреспонденский счет</t>
  </si>
  <si>
    <t>ИД SWIFT</t>
  </si>
  <si>
    <t>Рег. номер ЦБ РФ</t>
  </si>
  <si>
    <t>Дата регистрации</t>
  </si>
  <si>
    <t>Адрес из справочника БИК(исходный)</t>
  </si>
  <si>
    <t>ИД</t>
  </si>
  <si>
    <t>уфк по москве</t>
  </si>
  <si>
    <t>{"suggestions":[{"value":"УФК по г. Москве","unrestricted_value":"УФК по г. Москве","data":{"opf":{"type":"OTHER","full":null,"short":null},"name":{"payment":"УФК по г. Москве","full":null,"short":null},"bic":"044588101","swift":null,"okpo":null,"correspondent_account":null,"registration_number":null,"rkc":null,"address":{"value":"г Москва, ул Рощинская 3-я, д 3 стр 1","unrestricted_value":"г Москва, Даниловский р-н, ул Рощинская 3-я, д 3 стр 1","data":{"postal_code":"115191","country":"Россия","region_fias_id":"0c5b2444-70a0-4932-980c-b4dc0d3f02b5","region_kladr_id":"7700000000000","region_with_type":"г Москва","region_type":"г","region_type_full":"город","region":"Москва","area_fias_id":null,"area_kladr_id":null,"area_with_type":null,"area_type":null,"area_type_full":null,"area":null,"city_fias_id":"0c5b2444-70a0-4932-980c-b4dc0d3f02b5","city_kladr_id":"7700000000000","city_with_type":"г Москва","city_type":"г","city_type_full":"город","city":"Москва","city_area":"Южный","city_district_fias_id":null,"city_district_kladr_id":null,"city_district_with_type":"Даниловский р-н","city_district_type":"р-н","city_district_type_full":"район","city_district":"Даниловский","settlement_fias_id":null,"settlement_kladr_id":null,"settlement_with_type":null,"settlement_type":null,"settlement_type_full":null,"settlement":null,"street_fias_id":"7e3f6b49-42e3-4a7d-a439-86a26341a295","street_kladr_id":"77000000000250400","street_with_type":"ул Рощинская 3-я","street_type":"ул","street_type_full":"улица","street":"Рощинская 3-я","house_fias_id":"204d1596-fe35-4e81-a43f-2569757870a5","house_kladr_id":"7700000000025040002","house_type":"д","house_type_full":"дом","house":"3","block_type":"стр","block_type_full":"строение","block":"1","flat_type":null,"flat_type_full":null,"flat":null,"flat_area":null,"square_meter_price":"199793","flat_price":null,"postal_box":null,"fias_id":"204d1596-fe35-4e81-a43f-2569757870a5","fias_code":"77000000000000025040002","fias_level":"8","fias_actuality_state":"0","kladr_id":"7700000000025040002","geoname_id":null,"capital_marker":"0","okato":"45296559000","oktmo":"45914000","tax_office":"7725","tax_office_legal":"7725","timezone":"UTC+3","geo_lat":"55.7077152","geo_lon":"37.6148732","beltway_hit":"IN_MKAD","beltway_distance":null,"metro":[{"name":"Тульская","line":"Серпуховско-Тимирязевская","distance":0.5},{"name":"Шаболовская","line":"Калужско-Рижская","distance":1.3},{"name":"Площадь Гагарина","line":"МЦК","distance":1.8}],"qc_geo":"0","qc_complete":"5","qc_house":"2","history_values":null,"unparsed_parts":null,"source":"115191, Москва, 3-я Рощинская ул, 3, стр 1","qc":"0"}},"phones":null,"state":{"status":"ACTIVE","actuality_date":1554422400000,"registration_date":null,"liquidation_date":null}}}]}</t>
  </si>
  <si>
    <t>{"suggestions":[{"value":"ГУ БАНКА РОССИИ ПО ЦФО","unrestricted_value":"ГУ БАНКА РОССИИ ПО ЦФО","data":{"opf":{"type":"RKC","full":null,"short":null},"name":{"payment":"ГУ БАНКА РОССИИ ПО ЦФО","full":null,"short":null},"bic":"044525000","swift":null,"okpo":null,"correspondent_account":null,"registration_number":null,"rkc":null,"address":{"value":"115035, Москва 35, ул Балчуг, 2","unrestricted_value":"115035, Москва 35, ул Балчуг, 2","data":{"postal_code":"115035","country":"Россия","region_fias_id":"0c5b2444-70a0-4932-980c-b4dc0d3f02b5","region_kladr_id":"7700000000000","region_with_type":"г Москва","region_type":"г","region_type_full":"город","region":"Москва","area_fias_id":null,"area_kladr_id":null,"area_with_type":null,"area_type":null,"area_type_full":null,"area":null,"city_fias_id":"0c5b2444-70a0-4932-980c-b4dc0d3f02b5","city_kladr_id":"7700000000000","city_with_type":"г Москва","city_type":"г","city_type_full":"город","city":"Москва","city_area":"Центральный","city_district_fias_id":null,"city_district_kladr_id":null,"city_district_with_type":"р-н Якиманка","city_district_type":"р-н","city_district_type_full":"район","city_district":"Якиманка","settlement_fias_id":null,"settlement_kladr_id":null,"settlement_with_type":null,"settlement_type":null,"settlement_type_full":null,"settlement":null,"street_fias_id":"0995a06b-a6b6-4aa1-8bd1-6a4962fcca02","street_kladr_id":"77000000000080100","street_with_type":"ул Балчуг","street_type":"ул","street_type_full":"улица","street":"Балчуг","house_fias_id":"87ab84d6-6f3b-46c3-901e-8384cb50456f","house_kladr_id":"7700000000008010005","house_type":"д","house_type_full":"дом","house":"2","block_type":null,"block_type_full":null,"block":null,"flat_type":null,"flat_type_full":null,"flat":null,"flat_area":null,"square_meter_price":null,"flat_price":null,"postal_box":null,"fias_id":"87ab84d6-6f3b-46c3-901e-8384cb50456f","fias_code":"77000000000000008010005","fias_level":"8","fias_actuality_state":"0","kladr_id":"7700000000008010005","geoname_id":null,"capital_marker":"0","okato":"45286596000","oktmo":"45384000","tax_office":"7706","tax_office_legal":"7706","timezone":"UTC+3","geo_lat":"55.7474877","geo_lon":"37.6253409","beltway_hit":"IN_MKAD","beltway_distance":null,"metro":[{"name":"Новокузнецкая","line":"Замоскворецкая","distance":0.6},{"name":"Третьяковская","line":"Калининско-Солнцевская","distance":0.7},{"name":"Третьяковская","line":"Калужско-Рижская","distance":0.8}],"qc_geo":"0","qc_complete":"9","qc_house":"2","history_values":null,"unparsed_parts":"35","source":"115035, Москва 35, ул Балчуг, 2","qc":"1"}},"phones":null,"state":{"status":"ACTIVE","actuality_date":1554768000000,"registration_date":null,"liquidation_date":null}}}]}</t>
  </si>
  <si>
    <t>ГУ Банка россии по ЦФО</t>
  </si>
  <si>
    <t>046015207</t>
  </si>
  <si>
    <t>my_Индекс</t>
  </si>
  <si>
    <t>my_Адрес</t>
  </si>
  <si>
    <t>my_Платежное наименование</t>
  </si>
  <si>
    <t>ПАО Сбербанк</t>
  </si>
  <si>
    <t>{"suggestions":[{"value":"ФИЛИАЛ \"РОСТОВСКИЙ\" АО \"АЛЬФА-БАНК\"","unrestricted_value":"ФИЛИАЛ \"РОСТОВСКИЙ\" АО \"АЛЬФА-БАНК\"","data":{"opf":{"type":"BANK_BRANCH","full":null,"short":null},"name":{"payment":"ФИЛИАЛ \"РОСТОВСКИЙ\" АО \"АЛЬФА-БАНК\"","full":null,"short":null},"bic":"046015207","swift":null,"okpo":null,"correspondent_account":"30101810500000000207","registration_number":"1326/18","rkc":null,"address":{"value":"г Ростов-на-Дону, ул Красноармейская, д 206","unrestricted_value":"Ростовская обл, г Ростов-на-Дону, ул Красноармейская, д 206","data":{"postal_code":"344000","country":"Россия","region_fias_id":"f10763dc-63e3-48db-83e1-9c566fe3092b","region_kladr_id":"6100000000000","region_with_type":"Ростовская обл","region_type":"обл","region_type_full":"область","region":"Ростовская","area_fias_id":null,"area_kladr_id":null,"area_with_type":null,"area_type":null,"area_type_full":null,"area":null,"city_fias_id":"c1cfe4b9-f7c2-423c-abfa-6ed1c05a15c5","city_kladr_id":"6100000100000","city_with_type":"г Ростов-на-Дону","city_type":"г","city_type_full":"город","city":"Ростов-на-Дону","city_area":null,"city_district_fias_id":null,"city_district_kladr_id":null,"city_district_with_type":null,"city_district_type":null,"city_district_type_full":null,"city_district":null,"settlement_fias_id":null,"settlement_kladr_id":null,"settlement_with_type":null,"settlement_type":null,"settlement_type_full":null,"settlement":null,"street_fias_id":"d129b9dd-2323-49b6-a9f6-b34a4f84d2b0","street_kladr_id":"61000001000079500","street_with_type":"ул Красноармейская","street_type":"ул","street_type_full":"улица","street":"Красноармейская","house_fias_id":"24640f2c-bcd5-41fd-b14f-64a8f90790a8","house_kladr_id":"6100000100007950176","house_type":"д","house_type_full":"дом","house":"206","block_type":null,"block_type_full":null,"block":null,"flat_type":null,"flat_type_full":null,"flat":null,"flat_area":null,"square_meter_price":null,"flat_price":null,"postal_box":null,"fias_id":"24640f2c-bcd5-41fd-b14f-64a8f90790a8","fias_code":"61000001000000007950176","fias_level":"8","fias_actuality_state":"0","kladr_id":"6100000100007950176","geoname_id":null,"capital_marker":"2","okato":"60401000000","oktmo":"60701000001","tax_office":"6195","tax_office_legal":"6195","timezone":"UTC+3","geo_lat":"47.2297436","geo_lon":"39.7245572","beltway_hit":null,"beltway_distance":null,"metro":null,"qc_geo":"0","qc_complete":"5","qc_house":"2","history_values":null,"unparsed_parts":null,"source":"344000, Ростов-на-Дону, ул Красноармейская, 206","qc":"0"}},"phones":null,"state":{"status":"ACTIVE","actuality_date":1555372800000,"registration_date":null,"liquidation_date":null}}}]}</t>
  </si>
  <si>
    <t>ВТБ</t>
  </si>
  <si>
    <t>связь-банк</t>
  </si>
  <si>
    <t>{"suggestions":[{"value":"СВЯЗЬ-БАНК","unrestricted_value":"СВЯЗЬ-БАНК","data":{"opf":{"type":"BANK","full":null,"short":null},"name":{"payment":"ПАО АКБ \"СВЯЗЬ-БАНК\"","full":null,"short":"СВЯЗЬ-БАНК"},"bic":"044525848","swift":"SVIZRUMMXXX","okpo":null,"correspondent_account":"30101810900000000848","registration_number":"1470","rkc":null,"address":{"value":"г Москва, ул Новорязанская, д 31/7, кв 2","unrestricted_value":"г Москва, Басманный р-н, ул Новорязанская, д 31/7, кв 2","data":{"postal_code":"105066","country":"Россия","region_fias_id":"0c5b2444-70a0-4932-980c-b4dc0d3f02b5","region_kladr_id":"7700000000000","region_with_type":"г Москва","region_type":"г","region_type_full":"город","region":"Москва","area_fias_id":null,"area_kladr_id":null,"area_with_type":null,"area_type":null,"area_type_full":null,"area":null,"city_fias_id":"0c5b2444-70a0-4932-980c-b4dc0d3f02b5","city_kladr_id":"7700000000000","city_with_type":"г Москва","city_type":"г","city_type_full":"город","city":"Москва","city_area":"Центральный","city_district_fias_id":null,"city_district_kladr_id":null,"city_district_with_type":"Басманный р-н","city_district_type":"р-н","city_district_type_full":"район","city_district":"Басманный","settlement_fias_id":null,"settlement_kladr_id":null,"settlement_with_type":null,"settlement_type":null,"settlement_type_full":null,"settlement":null,"street_fias_id":"14afca9a-fe6b-4501-b67b-097c3fb9a21f","street_kladr_id":"77000000000066500","street_with_type":"ул Новорязанская","street_type":"ул","street_type_full":"улица","street":"Новорязанская","house_fias_id":null,"house_kladr_id":null,"house_type":"д","house_type_full":"дом","house":"31/7","block_type":null,"block_type_full":null,"block":null,"flat_type":"кв","flat_type_full":"квартира","flat":"2","flat_area":"59.2","square_meter_price":"212403","flat_price":"12574258","postal_box":null,"fias_id":"14afca9a-fe6b-4501-b67b-097c3fb9a21f","fias_code":"77000000000000006650000","fias_level":"7","fias_actuality_state":"0","kladr_id":"77000000000066500","geoname_id":null,"capital_marker":"0","okato":"45286555000","oktmo":"45375000","tax_office":"7701","tax_office_legal":"7701","timezone":"UTC+3","geo_lat":"55.7730629","geo_lon":"37.6718857","beltway_hit":"IN_MKAD","beltway_distance":null,"metro":[{"name":"Бауманская","line":"Арбатско-Покровская","distance":0.5},{"name":"Красносельская","line":"Сокольническая","distance":0.9},{"name":"Комсомольская","line":"Сокольническая","distance":1.1}],"qc_geo":"1","qc_complete":"10","qc_house":"10","history_values":null,"unparsed_parts":null,"source":"105066, Москва, ул Новорязанская, 31/7-2","qc":"0"}},"phones":null,"state":{"status":"ACTIVE","actuality_date":1555459200000,"registration_date":674697600000,"liquidation_date":null}}}]}</t>
  </si>
  <si>
    <t>049133840</t>
  </si>
  <si>
    <t>{"suggestions":[{"value":"СЕВЕРО-КАВКАЗСКИЙ ФИЛИАЛ ПАО АКБ \"СВЯЗЬ-БАНК\"","unrestricted_value":"СЕВЕРО-КАВКАЗСКИЙ ФИЛИАЛ ПАО АКБ \"СВЯЗЬ-БАНК\"","data":{"opf":{"type":"BANK_BRANCH","full":null,"short":null},"name":{"payment":"СЕВЕРО-КАВКАЗСКИЙ ФИЛИАЛ ПАО АКБ \"СВЯЗЬ-БАНК\"","full":null,"short":null},"bic":"049133840","swift":null,"okpo":null,"correspondent_account":"30101810000000000840","registration_number":"1470/12","rkc":null,"address":{"value":"г Черкесск, ул Пушкинская, д 71","unrestricted_value":"Карачаево-Черкесская Респ, г Черкесск, ул Пушкинская, д 71","data":{"postal_code":"369000","country":"Россия","federal_district":"Северо-Кавказский","region_fias_id":"61b95807-388a-4cb1-9bee-889f7cf811c8","region_kladr_id":"0900000000000","region_with_type":"Карачаево-Черкесская Респ","region_type":"Респ","region_type_full":"республика","region":"Карачаево-Черкесская","area_fias_id":null,"area_kladr_id":null,"area_with_type":null,"area_type":null,"area_type_full":null,"area":null,"city_fias_id":"2a4a7c93-f3f8-4042-8cbf-e04ab64f5e08","city_kladr_id":"0900000100000","city_with_type":"г Черкесск","city_type":"г","city_type_full":"город","city":"Черкесск","city_area":null,"city_district_fias_id":null,"city_district_kladr_id":null,"city_district_with_type":null,"city_district_type":null,"city_district_type_full":null,"city_district":null,"settlement_fias_id":null,"settlement_kladr_id":null,"settlement_with_type":null,"settlement_type":null,"settlement_type_full":null,"settlement":null,"street_fias_id":"7cde62d6-a803-40c8-93e7-b8920e72706b","street_kladr_id":"09000001000003400","street_with_type":"ул Пушкинская","street_type":"ул","street_type_full":"улица","street":"Пушкинская","house_fias_id":null,"house_kladr_id":null,"house_type":"д","house_type_full":"дом","house":"71","block_type":null,"block_type_full":null,"block":null,"flat_type":null,"flat_type_full":null,"flat":null,"flat_area":"487.0","square_meter_price":null,"flat_price":null,"postal_box":null,"fias_id":"7cde62d6-a803-40c8-93e7-b8920e72706b","fias_code":"09000001000000000340000","fias_level":"7","fias_actuality_state":"0","kladr_id":"09000001000003400","geoname_id":null,"capital_marker":"2","okato":"91401000000","oktmo":"91701000001","tax_office":"0917","tax_office_legal":"0917","timezone":"UTC+3","geo_lat":"44.2269407","geo_lon":"42.0521979","beltway_hit":null,"beltway_distance":null,"metro":null,"qc_geo":"0","qc_complete":"10","qc_house":"10","history_values":null,"unparsed_parts":null,"source":"369000, Черкесск, ул Пушкинская, 71","qc":"0"}},"phones":null,"state":{"status":"ACTIVE","actuality_date":1561423882000,"registration_date":null,"liquidation_date":null}}}]}</t>
  </si>
  <si>
    <t>041856890</t>
  </si>
  <si>
    <t>{"suggestions":[{"value":"ФИЛИАЛ \"ВОЛЖСКИЙ\" ПАО \"СКБ-БАНК\"","unrestricted_value":"ФИЛИАЛ \"ВОЛЖСКИЙ\" ПАО \"СКБ-БАНК\"","data":{"opf":{"type":"BANK_BRANCH","full":null,"short":null},"name":{"payment":"ФИЛИАЛ \"ВОЛЖСКИЙ\" ПАО \"СКБ-БАНК\"","full":null,"short":null},"bic":"041856890","swift":null,"okpo":null,"correspondent_account":"30101810800000000890","registration_number":"705/39","rkc":null,"address":{"value":"Волгоградская обл, г Волжский, ул Сталинградская, д 7","unrestricted_value":"Волгоградская обл, г Волжский, ул Сталинградская, д 7","data":{"postal_code":"404111","country":"Россия","federal_district":"Северо-Западный","region_fias_id":"da051ec8-da2e-4a66-b542-473b8d221ab4","region_kladr_id":"3400000000000","region_with_type":"Волгоградская обл","region_type":"обл","region_type_full":"область","region":"Волгоградская","area_fias_id":null,"area_kladr_id":null,"area_with_type":null,"area_type":null,"area_type_full":null,"area":null,"city_fias_id":"bc5ed788-84c8-493e-9598-7a15a9f1e4c1","city_kladr_id":"3400000200000","city_with_type":"г Волжский","city_type":"г","city_type_full":"город","city":"Волжский","city_area":null,"city_district_fias_id":null,"city_district_kladr_id":null,"city_district_with_type":null,"city_district_type":null,"city_district_type_full":null,"city_district":null,"settlement_fias_id":null,"settlement_kladr_id":null,"settlement_with_type":null,"settlement_type":null,"settlement_type_full":null,"settlement":null,"street_fias_id":"9145d1e2-1b29-468c-92d7-0b7e18643b3f","street_kladr_id":"34000002000004100","street_with_type":"ул Сталинградская","street_type":"ул","street_type_full":"улица","street":"Сталинградская","house_fias_id":"be4b4e8c-780c-4063-a473-36cad9db3dd9","house_kladr_id":"3400000200000410003","house_type":"д","house_type_full":"дом","house":"7","block_type":null,"block_type_full":null,"block":null,"flat_type":null,"flat_type_full":null,"flat":null,"flat_area":null,"square_meter_price":null,"flat_price":null,"postal_box":null,"fias_id":"be4b4e8c-780c-4063-a473-36cad9db3dd9","fias_code":"34000002000000000410003","fias_level":"8","fias_actuality_state":"0","kladr_id":"3400000200000410003","geoname_id":null,"capital_marker":"0","okato":"18410000000","oktmo":"18710000001","tax_office":"3435","tax_office_legal":"3435","timezone":"UTC+4","geo_lat":"48.7861688","geo_lon":"44.7489819","beltway_hit":null,"beltway_distance":null,"metro":null,"qc_geo":"0","qc_complete":"5","qc_house":"2","history_values":null,"unparsed_parts":null,"source":"404111, Волжский, ул Сталинградская, 7","qc":"0"}},"phones":null,"state":{"status":"ACTIVE","actuality_date":1561423882000,"registration_date":null,"liquidation_date":null}}}]}</t>
  </si>
  <si>
    <t>040702615</t>
  </si>
  <si>
    <t>{"suggestions":[{"value":"СТАВРОПОЛЬСКОЕ ОТДЕЛЕНИЕ N5230 ПАО СБЕРБАНК","unrestricted_value":"СТАВРОПОЛЬСКОЕ ОТДЕЛЕНИЕ N5230 ПАО СБЕРБАНК","data":{"opf":{"type":"BANK_BRANCH","full":null,"short":null},"name":{"payment":"СТАВРОПОЛЬСКОЕ ОТДЕЛЕНИЕ N5230 ПАО СБЕРБАНК","full":null,"short":null},"bic":"040702615","swift":"SABRRUMMSP1","okpo":null,"correspondent_account":"30101810907020000615","registration_number":"1481/1426","rkc":null,"address":{"value":"г Ставрополь, ул Ленина, д 361","unrestricted_value":"Ставропольский край, г Ставрополь, ул Ленина, д 361","data":{"postal_code":"355035","country":"Россия","federal_district":"Северо-Кавказский","region_fias_id":"327a060b-878c-4fb4-8dc4-d5595871a3d8","region_kladr_id":"2600000000000","region_with_type":"Ставропольский край","region_type":"край","region_type_full":"край","region":"Ставропольский","area_fias_id":null,"area_kladr_id":null,"area_with_type":null,"area_type":null,"area_type_full":null,"area":null,"city_fias_id":"2a1c7bdb-05ea-492f-9e1c-b3999f79dcbc","city_kladr_id":"2600000100000","city_with_type":"г Ставрополь","city_type":"г","city_type_full":"город","city":"Ставрополь","city_area":null,"city_district_fias_id":null,"city_district_kladr_id":null,"city_district_with_type":null,"city_district_type":null,"city_district_type_full":null,"city_district":null,"settlement_fias_id":null,"settlement_kladr_id":null,"settlement_with_type":null,"settlement_type":null,"settlement_type_full":null,"settlement":null,"street_fias_id":"50c685f9-915c-45a7-8a3b-890cf5d1b414","street_kladr_id":"26000001000023900","street_with_type":"ул Ленина","street_type":"ул","street_type_full":"улица","street":"Ленина","house_fias_id":"42f9b933-3acf-472f-81cd-c1f8b4b2fb3f","house_kladr_id":"2600000100002390002","house_type":"д","house_type_full":"дом","house":"361","block_type":null,"block_type_full":null,"block":null,"flat_type":null,"flat_type_full":null,"flat":null,"flat_area":null,"square_meter_price":"42398","flat_price":null,"postal_box":null,"fias_id":"42f9b933-3acf-472f-81cd-c1f8b4b2fb3f","fias_code":"26000001000000002390002","fias_level":"8","fias_actuality_state":"0","kladr_id":"2600000100002390002","geoname_id":null,"capital_marker":"2","okato":"07401000000","oktmo":"07701000","tax_office":"2635","tax_office_legal":"2635","timezone":"UTC+3","geo_lat":"45.0375028","geo_lon":"41.9420455","beltway_hit":null,"beltway_distance":null,"metro":null,"qc_geo":"0","qc_complete":"5","qc_house":"2","history_values":null,"unparsed_parts":null,"source":"355035, Ставрополь, ул Ленина, 361","qc":"0"}},"phones":null,"state":{"status":"ACTIVE","actuality_date":1561423882000,"registration_date":null,"liquidation_date":null}}}]}</t>
  </si>
  <si>
    <t>044525974</t>
  </si>
  <si>
    <t>040349556</t>
  </si>
  <si>
    <t>{"suggestions":[{"value":"ЮЖНЫЙ ФИЛИАЛ АО \"РАЙФФАЙЗЕНБАНК\"","unrestricted_value":"ЮЖНЫЙ ФИЛИАЛ АО \"РАЙФФАЙЗЕНБАНК\"","data":{"opf":{"type":"BANK_BRANCH","full":null,"short":null},"name":{"payment":"ЮЖНЫЙ ФИЛИАЛ АО \"РАЙФФАЙЗЕНБАНК\"","full":null,"short":null},"bic":"040349556","swift":null,"okpo":null,"correspondent_account":"30101810900000000556","registration_number":"3292/7","rkc":null,"address":{"value":"г Краснодар, ул Северная, д 395","unrestricted_value":"Краснодарский край, г Краснодар, ул Северная, д 395","data":{"postal_code":"350002","country":"Россия","federal_district":"Южный","region_fias_id":"d00e1013-16bd-4c09-b3d5-3cb09fc54bd8","region_kladr_id":"2300000000000","region_with_type":"Краснодарский край","region_type":"край","region_type_full":"край","region":"Краснодарский","area_fias_id":null,"area_kladr_id":null,"area_with_type":null,"area_type":null,"area_type_full":null,"area":null,"city_fias_id":"7dfa745e-aa19-4688-b121-b655c11e482f","city_kladr_id":"2300000100000","city_with_type":"г Краснодар","city_type":"г","city_type_full":"город","city":"Краснодар","city_area":null,"city_district_fias_id":null,"city_district_kladr_id":null,"city_district_with_type":null,"city_district_type":null,"city_district_type_full":null,"city_district":null,"settlement_fias_id":null,"settlement_kladr_id":null,"settlement_with_type":null,"settlement_type":null,"settlement_type_full":null,"settlement":null,"street_fias_id":"f59fa942-9cbb-4abe-affa-6a1178370f28","street_kladr_id":"23000001000067400","street_with_type":"ул Северная","street_type":"ул","street_type_full":"улица","street":"Северная","house_fias_id":"e033b3d7-e105-4aad-940b-3e2547d8dc52","house_kladr_id":"2300000100006740392","house_type":"д","house_type_full":"дом","house":"395","block_type":null,"block_type_full":null,"block":null,"flat_type":null,"flat_type_full":null,"flat":null,"flat_area":null,"square_meter_price":null,"flat_price":null,"postal_box":null,"fias_id":"e033b3d7-e105-4aad-940b-3e2547d8dc52","fias_code":"23000001000000006740392","fias_level":"8","fias_actuality_state":"0","kladr_id":"2300000100006740392","geoname_id":null,"capital_marker":"2","okato":"03401000000","oktmo":"03701000001","tax_office":"2310","tax_office_legal":"2310","timezone":"UTC+3","geo_lat":"45.0375798","geo_lon":"38.9942913","beltway_hit":null,"beltway_distance":null,"metro":null,"qc_geo":"0","qc_complete":"5","qc_house":"2","history_values":null,"unparsed_parts":null,"source":"350002, Краснодар, ул Северная, 395","qc":"0"}},"phones":null,"state":{"status":"ACTIVE","actuality_date":1561508252000,"registration_date":null,"liquidation_date":null}}}]}</t>
  </si>
  <si>
    <t>{"suggestions":[{"value":"ТИНЬКОФФ БАНК","unrestricted_value":"ТИНЬКОФФ БАНК","data":{"opf":{"type":"BANK","full":null,"short":null},"name":{"payment":"АО \"ТИНЬКОФФ БАНК\"","full":null,"short":"ТИНЬКОФФ БАНК"},"bic":"044525974","swift":"TICSRUMMXXX","okpo":null,"correspondent_account":"30101810145250000974","registration_number":"2673","rkc":null,"address":{"value":"г Москва, проезд Волоколамский 1-й, д 10 стр 1","unrestricted_value":"г Москва, р-н Щукино, проезд Волоколамский 1-й, д 10 стр 1","data":{"postal_code":"123060","country":"Россия","federal_district":"Центральный","region_fias_id":"0c5b2444-70a0-4932-980c-b4dc0d3f02b5","region_kladr_id":"7700000000000","region_with_type":"г Москва","region_type":"г","region_type_full":"город","region":"Москва","area_fias_id":null,"area_kladr_id":null,"area_with_type":null,"area_type":null,"area_type_full":null,"area":null,"city_fias_id":"0c5b2444-70a0-4932-980c-b4dc0d3f02b5","city_kladr_id":"7700000000000","city_with_type":"г Москва","city_type":"г","city_type_full":"город","city":"Москва","city_area":"Северо-западный","city_district_fias_id":null,"city_district_kladr_id":null,"city_district_with_type":"р-н Щукино","city_district_type":"р-н","city_district_type_full":"район","city_district":"Щукино","settlement_fias_id":null,"settlement_kladr_id":null,"settlement_with_type":null,"settlement_type":null,"settlement_type_full":null,"settlement":null,"street_fias_id":"461b99f2-4bda-4ba1-93c5-f7e8aafbc466","street_kladr_id":"77000000000100500","street_with_type":"проезд Волоколамский 1-й","street_type":"проезд","street_type_full":"проезд","street":"Волоколамский 1-й","house_fias_id":"c4a4e03b-3136-4074-9b9f-5a92a8db16be","house_kladr_id":"7700000000010050016","house_type":"д","house_type_full":"дом","house":"10","block_type":"стр","block_type_full":"строение","block":"1","flat_type":null,"flat_type_full":null,"flat":null,"flat_area":null,"square_meter_price":null,"flat_price":null,"postal_box":null,"fias_id":"c4a4e03b-3136-4074-9b9f-5a92a8db16be","fias_code":"77000000000000010050016","fias_level":"8","fias_actuality_state":"0","kladr_id":"7700000000010050016","geoname_id":null,"capital_marker":"0","okato":"45283587000","oktmo":"45372000","tax_office":"7734","tax_office_legal":"7734","timezone":"UTC+3","geo_lat":"55.8047563","geo_lon":"37.490326","beltway_hit":"IN_MKAD","beltway_distance":null,"metro":[{"name":"Панфиловская","line":"МЦК","distance":0.8},{"name":"Стрешнево","line":"МЦК","distance":1.0},{"name":"Октябрьское поле","line":"Таганско-Краснопресненская","distance":1.3}],"qc_geo":"0","qc_complete":"5","qc_house":"2","history_values":null,"unparsed_parts":null,"source":"123060, Москва, 1-й  Волоколамс пр-д, 10, стр 1","qc":"0"}},"phones":null,"state":{"status":"ACTIVE","actuality_date":1561508252000,"registration_date":759715200000,"liquidation_date":null}}}]}</t>
  </si>
  <si>
    <t>Параметр</t>
  </si>
  <si>
    <t>Значение</t>
  </si>
  <si>
    <t>paramSheet</t>
  </si>
  <si>
    <t>curFileAndSheet</t>
  </si>
  <si>
    <t>curFolderPath</t>
  </si>
  <si>
    <t>paramSheetName</t>
  </si>
  <si>
    <t>curFileName</t>
  </si>
  <si>
    <t>paramsFileName</t>
  </si>
  <si>
    <t>params_share.xlsx</t>
  </si>
  <si>
    <t>Dadata_API_KEY</t>
  </si>
  <si>
    <t>213fab24618df0234b069282c2132c0c0a3d7711</t>
  </si>
  <si>
    <t>Dadata_Addres</t>
  </si>
  <si>
    <t>https://suggestions.dadata.ru/suggestions/api/4_1/rs/suggest/bank</t>
  </si>
  <si>
    <t>{"suggestions":[{"value":"Банк ВТБ (ПАО)","unrestricted_value":"Банк ВТБ (ПАО)","data":{"opf":{"type":"BANK","full":null,"short":null},"name":{"payment":"БАНК ВТБ (ПАО)","full":null,"short":"Банк ВТБ (ПАО)"},"bic":"044525187","swift":"VTBRRUMMXXX","inn":"7702070139","kpp":"784201001","okpo":null,"correspondent_account":"30101810700000000187","treasury_accounts":null,"registration_number":"1000","payment_city":"г Москва","state":{"status":"ACTIVE","code":null,"actuality_date":1656806400000,"registration_date":656121600000,"liquidation_date":null},"rkc":null,"cbr":null,"address":{"value":"г Москва, Пресненская наб, д 12","unrestricted_value":"123112, г Москва, Пресненский р-н, Пресненская наб, д 12","data":{"postal_code":"123112","country":"Россия","country_iso_code":"RU","federal_district":"Центральный","region_fias_id":"0c5b2444-70a0-4932-980c-b4dc0d3f02b5","region_kladr_id":"7700000000000","region_iso_code":"RU-MOW","region_with_type":"г Москва","region_type":"г","region_type_full":"город","region":"Москва","area_fias_id":null,"area_kladr_id":null,"area_with_type":null,"area_type":null,"area_type_full":null,"area":null,"city_fias_id":"0c5b2444-70a0-4932-980c-b4dc0d3f02b5","city_kladr_id":"7700000000000","city_with_type":"г Москва","city_type":"г","city_type_full":"город","city":"Москва","city_area":"Центральный","city_district_fias_id":null,"city_district_kladr_id":null,"city_district_with_type":"Пресненский р-н","city_district_type":"р-н","city_district_type_full":"район","city_district":"Пресненский","settlement_fias_id":null,"settlement_kladr_id":null,"settlement_with_type":null,"settlement_type":null,"settlement_type_full":null,"settlement":null,"street_fias_id":"8181e3aa-137c-4187-9fd6-fceb252142d1","street_kladr_id":"77000000000738800","street_with_type":"Пресненская наб","street_type":"наб","street_type_full":"набережная","street":"Пресненская","stead_fias_id":null,"stead_cadnum":null,"stead_type":null,"stead_type_full":null,"stead":null,"house_fias_id":"745e543b-8690-4dca-9d78-858876340cdd","house_kladr_id":"7700000000073880004","house_cadnum":"77:01:0004034:1013","house_type":"д","house_type_full":"дом","house":"12","block_type":null,"block_type_full":null,"block":null,"entrance":null,"floor":null,"flat_fias_id":null,"flat_cadnum":null,"flat_type":null,"flat_type_full":null,"flat":null,"flat_area":null,"square_meter_price":"644308","flat_price":null,"postal_box":null,"fias_id":"745e543b-8690-4dca-9d78-858876340cdd","fias_code":"77000000000000073880004","fias_level":"8","fias_actuality_state":"0","kladr_id":"7700000000073880004","geoname_id":"524901","capital_marker":"0","okato":"45286575000","oktmo":"45380000","tax_office":"7703","tax_office_legal":"7703","timezone":"UTC+3","geo_lat":"55.749588","geo_lon":"37.5371164","beltway_hit":"IN_MKAD","beltway_distance":null,"metro":[{"name":"Деловой центр","line":"Большая кольцевая линия","distance":0.2},{"name":"Международная","line":"Филёвская","distance":0.3},{"name":"Выставочная","line":"Филёвская","distance":0.4}],"divisions":null,"qc_geo":"0","qc_complete":"5","qc_house":"2","history_values":null,"unparsed_parts":null,"source":"123100, г Москва, Пресненская наб. 12","qc":"0"}},"phones":null}}]}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</si>
</sst>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"/>
  </numFmts>
  <fonts count="14" x14ac:knownFonts="1">
    <font>
      <sz val="10"/>
      <color theme="1"/>
      <name val="Times New Roman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0"/>
      <color theme="0" tint="-0.34998626667073579"/>
      <name val="Times New Roman"/>
      <family val="1"/>
      <charset val="204"/>
    </font>
    <font>
      <sz val="10"/>
      <color theme="0" tint="-0.34998626667073579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0"/>
      <color theme="0" tint="-0.34998626667073579"/>
      <name val="Times New Roman"/>
      <family val="1"/>
      <charset val="204"/>
    </font>
    <font>
      <sz val="10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1"/>
      <color theme="4" tint="-0.249977111117893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sz val="11"/>
      <color theme="4" tint="-0.249977111117893"/>
      <name val="Calibri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theme="4"/>
      </bottom>
      <diagonal/>
    </border>
  </borders>
  <cellStyleXfs count="2">
    <xf numFmtId="0" fontId="0" fillId="0" borderId="0"/>
    <xf numFmtId="0" fontId="1" fillId="0" borderId="0"/>
  </cellStyleXfs>
  <cellXfs count="54">
    <xf numFmtId="0" fontId="0" fillId="0" borderId="0" xfId="0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" fontId="3" fillId="0" borderId="5" xfId="0" applyNumberFormat="1" applyFont="1" applyBorder="1" applyAlignment="1">
      <alignment horizontal="center" vertical="center" wrapText="1"/>
    </xf>
    <xf numFmtId="49" fontId="3" fillId="0" borderId="5" xfId="0" applyNumberFormat="1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left" vertical="center" wrapText="1"/>
    </xf>
    <xf numFmtId="0" fontId="2" fillId="0" borderId="1" xfId="0" applyNumberFormat="1" applyFont="1" applyBorder="1" applyAlignment="1">
      <alignment horizontal="left" vertical="center" wrapText="1"/>
    </xf>
    <xf numFmtId="0" fontId="2" fillId="0" borderId="8" xfId="0" applyNumberFormat="1" applyFont="1" applyBorder="1" applyAlignment="1">
      <alignment horizontal="left" vertical="center" wrapText="1"/>
    </xf>
    <xf numFmtId="164" fontId="3" fillId="0" borderId="1" xfId="0" applyNumberFormat="1" applyFont="1" applyBorder="1" applyAlignment="1">
      <alignment horizontal="left" vertical="center" wrapText="1"/>
    </xf>
    <xf numFmtId="164" fontId="3" fillId="0" borderId="8" xfId="0" applyNumberFormat="1" applyFont="1" applyBorder="1" applyAlignment="1">
      <alignment horizontal="left" vertical="center" wrapText="1"/>
    </xf>
    <xf numFmtId="0" fontId="0" fillId="0" borderId="0" xfId="0" applyProtection="1">
      <protection locked="0"/>
    </xf>
    <xf numFmtId="0" fontId="3" fillId="0" borderId="6" xfId="0" applyFont="1" applyBorder="1" applyAlignment="1" applyProtection="1">
      <alignment horizontal="center" vertical="center" wrapText="1"/>
      <protection locked="0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0" fillId="0" borderId="8" xfId="0" applyNumberFormat="1" applyBorder="1" applyAlignment="1" applyProtection="1">
      <alignment horizontal="left" vertical="center" wrapText="1"/>
      <protection locked="0"/>
    </xf>
    <xf numFmtId="49" fontId="0" fillId="0" borderId="0" xfId="0" applyNumberFormat="1" applyProtection="1">
      <protection locked="0"/>
    </xf>
    <xf numFmtId="0" fontId="4" fillId="0" borderId="1" xfId="0" applyNumberFormat="1" applyFont="1" applyBorder="1" applyAlignment="1">
      <alignment horizontal="left" vertical="center" wrapText="1"/>
    </xf>
    <xf numFmtId="0" fontId="4" fillId="0" borderId="8" xfId="0" applyNumberFormat="1" applyFont="1" applyBorder="1" applyAlignment="1">
      <alignment horizontal="left" vertical="center" wrapText="1"/>
    </xf>
    <xf numFmtId="14" fontId="4" fillId="0" borderId="1" xfId="0" applyNumberFormat="1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14" fontId="4" fillId="0" borderId="8" xfId="0" applyNumberFormat="1" applyFont="1" applyBorder="1" applyAlignment="1">
      <alignment horizontal="left" vertical="center" wrapText="1"/>
    </xf>
    <xf numFmtId="0" fontId="4" fillId="0" borderId="8" xfId="0" applyFont="1" applyBorder="1" applyAlignment="1">
      <alignment horizontal="left" vertical="center" wrapText="1"/>
    </xf>
    <xf numFmtId="164" fontId="4" fillId="0" borderId="8" xfId="0" applyNumberFormat="1" applyFont="1" applyBorder="1" applyAlignment="1">
      <alignment horizontal="left" vertical="center" wrapText="1"/>
    </xf>
    <xf numFmtId="164" fontId="4" fillId="0" borderId="1" xfId="0" applyNumberFormat="1" applyFont="1" applyBorder="1" applyAlignment="1">
      <alignment horizontal="left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3" xfId="0" applyFont="1" applyBorder="1" applyAlignment="1" applyProtection="1">
      <alignment horizontal="left" vertical="center"/>
      <protection locked="0"/>
    </xf>
    <xf numFmtId="0" fontId="4" fillId="0" borderId="9" xfId="0" applyFont="1" applyBorder="1" applyAlignment="1" applyProtection="1">
      <alignment horizontal="left" vertical="center"/>
      <protection locked="0"/>
    </xf>
    <xf numFmtId="0" fontId="7" fillId="0" borderId="8" xfId="0" applyNumberFormat="1" applyFont="1" applyBorder="1" applyAlignment="1">
      <alignment horizontal="left" vertical="center" wrapText="1"/>
    </xf>
    <xf numFmtId="0" fontId="6" fillId="0" borderId="8" xfId="0" applyFont="1" applyBorder="1" applyAlignment="1">
      <alignment horizontal="left" vertical="center" wrapText="1"/>
    </xf>
    <xf numFmtId="0" fontId="5" fillId="0" borderId="8" xfId="0" applyNumberFormat="1" applyFont="1" applyBorder="1" applyAlignment="1">
      <alignment horizontal="left" vertical="center" wrapText="1"/>
    </xf>
    <xf numFmtId="14" fontId="5" fillId="0" borderId="8" xfId="0" applyNumberFormat="1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164" fontId="5" fillId="0" borderId="8" xfId="0" applyNumberFormat="1" applyFont="1" applyBorder="1" applyAlignment="1">
      <alignment horizontal="left" vertical="center" wrapText="1"/>
    </xf>
    <xf numFmtId="0" fontId="5" fillId="0" borderId="9" xfId="0" applyFont="1" applyBorder="1" applyAlignment="1" applyProtection="1">
      <alignment horizontal="left" vertical="center"/>
      <protection locked="0"/>
    </xf>
    <xf numFmtId="164" fontId="6" fillId="0" borderId="8" xfId="0" applyNumberFormat="1" applyFont="1" applyBorder="1" applyAlignment="1">
      <alignment horizontal="left" vertical="center" wrapText="1"/>
    </xf>
    <xf numFmtId="0" fontId="5" fillId="0" borderId="7" xfId="0" applyFont="1" applyBorder="1" applyAlignment="1">
      <alignment horizontal="center" vertical="center" wrapText="1"/>
    </xf>
    <xf numFmtId="0" fontId="9" fillId="0" borderId="8" xfId="0" applyNumberFormat="1" applyFont="1" applyBorder="1" applyAlignment="1">
      <alignment horizontal="left" vertical="center" wrapText="1"/>
    </xf>
    <xf numFmtId="164" fontId="10" fillId="0" borderId="8" xfId="0" applyNumberFormat="1" applyFont="1" applyBorder="1" applyAlignment="1">
      <alignment horizontal="left" vertical="center" wrapText="1"/>
    </xf>
    <xf numFmtId="0" fontId="10" fillId="0" borderId="8" xfId="0" applyFont="1" applyBorder="1" applyAlignment="1">
      <alignment horizontal="left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8" xfId="0" applyNumberFormat="1" applyFont="1" applyBorder="1" applyAlignment="1">
      <alignment horizontal="left" vertical="center" wrapText="1"/>
    </xf>
    <xf numFmtId="14" fontId="8" fillId="0" borderId="8" xfId="0" applyNumberFormat="1" applyFont="1" applyBorder="1" applyAlignment="1">
      <alignment horizontal="left" vertical="center" wrapText="1"/>
    </xf>
    <xf numFmtId="164" fontId="8" fillId="0" borderId="8" xfId="0" applyNumberFormat="1" applyFont="1" applyBorder="1" applyAlignment="1">
      <alignment horizontal="left" vertical="center" wrapText="1"/>
    </xf>
    <xf numFmtId="0" fontId="8" fillId="0" borderId="8" xfId="0" applyFont="1" applyBorder="1" applyAlignment="1">
      <alignment horizontal="left" vertical="center" wrapText="1"/>
    </xf>
    <xf numFmtId="0" fontId="8" fillId="0" borderId="9" xfId="0" applyFont="1" applyBorder="1" applyAlignment="1" applyProtection="1">
      <alignment horizontal="left" vertical="center"/>
      <protection locked="0"/>
    </xf>
    <xf numFmtId="49" fontId="3" fillId="0" borderId="8" xfId="0" applyNumberFormat="1" applyFont="1" applyBorder="1" applyAlignment="1" applyProtection="1">
      <alignment horizontal="left" vertical="center" wrapText="1"/>
      <protection locked="0"/>
    </xf>
    <xf numFmtId="0" fontId="11" fillId="0" borderId="10" xfId="1" applyFont="1" applyBorder="1"/>
    <xf numFmtId="0" fontId="12" fillId="0" borderId="0" xfId="1" applyFont="1"/>
    <xf numFmtId="0" fontId="13" fillId="0" borderId="0" xfId="0" applyFont="1"/>
  </cellXfs>
  <cellStyles count="2">
    <cellStyle name="Обычный" xfId="0" builtinId="0"/>
    <cellStyle name="Обычный 2 2" xfId="1" xr:uid="{634BFED2-00CA-421B-B116-C6DE90574956}"/>
  </cellStyles>
  <dxfs count="34">
    <dxf>
      <font>
        <color rgb="FFFF0000"/>
      </font>
    </dxf>
    <dxf>
      <font>
        <color theme="5" tint="-0.24994659260841701"/>
      </font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family val="1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theme="4"/>
        </bottom>
      </border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numFmt numFmtId="0" formatCode="General"/>
      <fill>
        <patternFill patternType="none"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0" formatCode="General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0" formatCode="General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numFmt numFmtId="164" formatCode="000000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164" formatCode="000000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0" formatCode="General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19" formatCode="dd/mm/yyyy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0" formatCode="General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0" formatCode="General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0" formatCode="General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0" formatCode="General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0" formatCode="General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numFmt numFmtId="0" formatCode="General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alignment horizontal="left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ntragents_egru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Егрюл"/>
      <sheetName val="Должности"/>
      <sheetName val="ОПФ"/>
      <sheetName val="Export"/>
      <sheetName val="Параметры"/>
    </sheetNames>
    <sheetDataSet>
      <sheetData sheetId="0"/>
      <sheetData sheetId="1"/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ЕгрюлБанки" displayName="ЕгрюлБанки" ref="A1:T12" totalsRowShown="0" headerRowDxfId="33" dataDxfId="31" headerRowBorderDxfId="32" tableBorderDxfId="30" totalsRowBorderDxfId="29">
  <autoFilter ref="A1:T12" xr:uid="{00000000-0009-0000-0100-000007000000}"/>
  <sortState xmlns:xlrd2="http://schemas.microsoft.com/office/spreadsheetml/2017/richdata2" ref="A2:T12">
    <sortCondition ref="A1:A12"/>
  </sortState>
  <tableColumns count="20">
    <tableColumn id="1" xr3:uid="{00000000-0010-0000-0100-000001000000}" name="ИД" dataDxfId="28">
      <calculatedColumnFormula>CONCATENATE(ЕгрюлБанки[[#This Row],[Название краткое]])</calculatedColumnFormula>
    </tableColumn>
    <tableColumn id="2" xr3:uid="{00000000-0010-0000-0100-000002000000}" name="Строка поиска" dataDxfId="27"/>
    <tableColumn id="25" xr3:uid="{00000000-0010-0000-0100-000019000000}" name="JSON Исходник" dataDxfId="3"/>
    <tableColumn id="3" xr3:uid="{00000000-0010-0000-0100-000003000000}" name="Название краткое" dataDxfId="26">
      <calculatedColumnFormula>РазобратьJson(ЕгрюлБанки[[#This Row],[JSON Исходник]],"suggestions",1,"value")</calculatedColumnFormula>
    </tableColumn>
    <tableColumn id="4" xr3:uid="{00000000-0010-0000-0100-000004000000}" name="Платежное наименование" dataDxfId="25">
      <calculatedColumnFormula>IF(ЕгрюлБанки[[#This Row],[my_Платежное наименование]]&lt;&gt;"",ЕгрюлБанки[[#This Row],[my_Платежное наименование]],РазобратьJson(ЕгрюлБанки[[#This Row],[JSON Исходник]],"suggestions",1,"data","name","payment"))</calculatedColumnFormula>
    </tableColumn>
    <tableColumn id="9" xr3:uid="{00000000-0010-0000-0100-000009000000}" name="my_Платежное наименование" dataDxfId="24"/>
    <tableColumn id="5" xr3:uid="{00000000-0010-0000-0100-000005000000}" name="БИК" dataDxfId="23">
      <calculatedColumnFormula>РазобратьJson(ЕгрюлБанки[[#This Row],[JSON Исходник]],"suggestions",1,"data","bic")</calculatedColumnFormula>
    </tableColumn>
    <tableColumn id="6" xr3:uid="{00000000-0010-0000-0100-000006000000}" name="Корреспонденский счет" dataDxfId="22">
      <calculatedColumnFormula>IF(РазобратьJson(ЕгрюлБанки[[#This Row],[JSON Исходник]],"suggestions",1,"data","correspondent_account")&lt;&gt;"",РазобратьJson(ЕгрюлБанки[[#This Row],[JSON Исходник]],"suggestions",1,"data","correspondent_account"),"")</calculatedColumnFormula>
    </tableColumn>
    <tableColumn id="7" xr3:uid="{00000000-0010-0000-0100-000007000000}" name="ИД SWIFT" dataDxfId="21">
      <calculatedColumnFormula>IF(РазобратьJson(ЕгрюлБанки[[#This Row],[JSON Исходник]],"suggestions",1,"data","swift")&lt;&gt;"",РазобратьJson(ЕгрюлБанки[[#This Row],[JSON Исходник]],"suggestions",1,"data","swift"),"")</calculatedColumnFormula>
    </tableColumn>
    <tableColumn id="8" xr3:uid="{00000000-0010-0000-0100-000008000000}" name="Рег. номер ЦБ РФ" dataDxfId="20">
      <calculatedColumnFormula>IF(РазобратьJson(ЕгрюлБанки[[#This Row],[JSON Исходник]],"suggestions",1,"data","registration_number")&lt;&gt;"",РазобратьJson(ЕгрюлБанки[[#This Row],[JSON Исходник]],"suggestions",1,"data","registration_number"),"")</calculatedColumnFormula>
    </tableColumn>
    <tableColumn id="10" xr3:uid="{00000000-0010-0000-0100-00000A000000}" name="Дата регистрации" dataDxfId="19">
      <calculatedColumnFormula>IF(РазобратьJson(ЕгрюлБанки[[#This Row],[JSON Исходник]],"suggestions",1,"data","state","registration_date")&lt;&gt;"",DATE(1970,1,1)+РазобратьJson(ЕгрюлБанки[[#This Row],[JSON Исходник]],"suggestions",1,"data","state","registration_date")/1000/60/60/24,"")</calculatedColumnFormula>
    </tableColumn>
    <tableColumn id="16" xr3:uid="{00000000-0010-0000-0100-000010000000}" name="Тип подразделения" dataDxfId="18">
      <calculatedColumnFormula>IF(РазобратьJson(ЕгрюлБанки[[#This Row],[JSON Исходник]],"suggestions",1,"data","opf","type")="BANK","Банк",IF(РазобратьJson(ЕгрюлБанки[[#This Row],[JSON Исходник]],"suggestions",1,"data","opf","type")="BANK_BRANCH","Филиал банка",IF(РазобратьJson(ЕгрюлБанки[[#This Row],[JSON Исходник]],"suggestions",1,"data","opf","type")="NKO","НКО",IF(РазобратьJson(ЕгрюлБанки[[#This Row],[JSON Исходник]],"suggestions",1,"data","opf","type")="NKO_BRANCH","филиал НКО",IF(РазобратьJson(ЕгрюлБанки[[#This Row],[JSON Исходник]],"suggestions",1,"data","opf","type")="RKC","расчетно-кассовый центр","Другой")))))</calculatedColumnFormula>
    </tableColumn>
    <tableColumn id="17" xr3:uid="{00000000-0010-0000-0100-000011000000}" name="Индекс" dataDxfId="17">
      <calculatedColumnFormula>IF(ЕгрюлБанки[[#This Row],[my_Индекс]]&lt;&gt;"",ЕгрюлБанки[[#This Row],[my_Индекс]],РазобратьJson(ЕгрюлБанки[[#This Row],[JSON Исходник]],"suggestions",1,"data","address","data","postal_code"))</calculatedColumnFormula>
    </tableColumn>
    <tableColumn id="11" xr3:uid="{00000000-0010-0000-0100-00000B000000}" name="my_Индекс" dataDxfId="16"/>
    <tableColumn id="18" xr3:uid="{00000000-0010-0000-0100-000012000000}" name="Адрес" dataDxfId="15">
      <calculatedColumnFormula>IF(ЕгрюлБанки[[#This Row],[my_Адрес]]&lt;&gt;"",ЕгрюлБанки[[#This Row],[my_Адрес]],РазобратьJson(ЕгрюлБанки[[#This Row],[JSON Исходник]],"suggestions",1,"data","address","value"))</calculatedColumnFormula>
    </tableColumn>
    <tableColumn id="12" xr3:uid="{00000000-0010-0000-0100-00000C000000}" name="my_Адрес" dataDxfId="14"/>
    <tableColumn id="19" xr3:uid="{00000000-0010-0000-0100-000013000000}" name="Полный адрес" dataDxfId="13">
      <calculatedColumnFormula>РазобратьJson(ЕгрюлБанки[[#This Row],[JSON Исходник]],"suggestions",1,"data","address","unrestricted_value")</calculatedColumnFormula>
    </tableColumn>
    <tableColumn id="20" xr3:uid="{00000000-0010-0000-0100-000014000000}" name="Адрес из справочника БИК(исходный)" dataDxfId="12">
      <calculatedColumnFormula>РазобратьJson(ЕгрюлБанки[[#This Row],[JSON Исходник]],"suggestions",1,"data","address","data","source")</calculatedColumnFormula>
    </tableColumn>
    <tableColumn id="21" xr3:uid="{00000000-0010-0000-0100-000015000000}" name="Точность распознования адреса" dataDxfId="11">
      <calculatedColumnFormula>IF(РазобратьJson(ЕгрюлБанки[[#This Row],[JSON Исходник]],"suggestions",1,"data","address","data","qc")="0","Распознан","Надо проверить")</calculatedColumnFormula>
    </tableColumn>
    <tableColumn id="24" xr3:uid="{00000000-0010-0000-0100-000018000000}" name="Статус" dataDxfId="10">
      <calculatedColumnFormula>IF(РазобратьJson(ЕгрюлБанки[[#This Row],[JSON Исходник]],"suggestions",1,"data","state","status")="ACTIVE","Действующая",IF(РазобратьJson(ЕгрюлБанки[[#This Row],[JSON Исходник]],"suggestions",1,"data","state","status")="LIQUIDATING","Ликвидируемая",IF(РазобратьJson(ЕгрюлБанки[[#This Row],[JSON Исходник]],"suggestions",1,"data","state","status")="LIQUIDATED","Ликвидированная","Присоединяемая")))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CFEA43-3B12-427F-B007-FC44EB7A4EAD}" name="ParamsFile" displayName="ParamsFile" ref="A1:B9" totalsRowShown="0" headerRowDxfId="9" dataDxfId="8" headerRowBorderDxfId="6" tableBorderDxfId="7">
  <autoFilter ref="A1:B9" xr:uid="{EDF1B506-8250-4080-8C5F-5D050071D5DE}"/>
  <tableColumns count="2">
    <tableColumn id="1" xr3:uid="{CD334219-C62E-47A9-AD3C-A636135359CC}" name="Параметр" dataDxfId="5"/>
    <tableColumn id="2" xr3:uid="{F4E2503A-77F0-4F05-8DDA-70348FB3A674}" name="Значение" dataDxfId="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hyperlink" Target="https://suggestions.dadata.ru/suggestions/api/4_1/rs/suggest/ban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W12"/>
  <sheetViews>
    <sheetView tabSelected="1" workbookViewId="0">
      <selection activeCell="A2" sqref="A2"/>
    </sheetView>
  </sheetViews>
  <sheetFormatPr defaultRowHeight="12.75" x14ac:dyDescent="0.2"/>
  <cols>
    <col min="1" max="1" width="33.5" customWidth="1"/>
    <col min="2" max="2" width="26" style="19" customWidth="1"/>
    <col min="3" max="3" width="12.83203125" style="15" customWidth="1"/>
    <col min="4" max="4" width="20.33203125" customWidth="1"/>
    <col min="5" max="5" width="57.1640625" customWidth="1"/>
    <col min="6" max="6" width="19.5" customWidth="1"/>
    <col min="7" max="7" width="25.33203125" customWidth="1"/>
    <col min="8" max="8" width="33.6640625" customWidth="1"/>
    <col min="9" max="9" width="18.83203125" customWidth="1"/>
    <col min="10" max="10" width="19.6640625" customWidth="1"/>
    <col min="11" max="11" width="14.5" customWidth="1"/>
    <col min="12" max="14" width="23.5" customWidth="1"/>
    <col min="15" max="16" width="22" customWidth="1"/>
    <col min="17" max="17" width="21.33203125" customWidth="1"/>
    <col min="18" max="18" width="31" customWidth="1"/>
    <col min="19" max="19" width="33.5" customWidth="1"/>
    <col min="20" max="20" width="14.1640625" customWidth="1"/>
  </cols>
  <sheetData>
    <row r="1" spans="1:23" s="4" customFormat="1" ht="25.5" x14ac:dyDescent="0.2">
      <c r="A1" s="5" t="s">
        <v>18</v>
      </c>
      <c r="B1" s="17" t="s">
        <v>0</v>
      </c>
      <c r="C1" s="16" t="s">
        <v>8</v>
      </c>
      <c r="D1" s="6" t="s">
        <v>1</v>
      </c>
      <c r="E1" s="6" t="s">
        <v>11</v>
      </c>
      <c r="F1" s="6" t="s">
        <v>26</v>
      </c>
      <c r="G1" s="6" t="s">
        <v>12</v>
      </c>
      <c r="H1" s="7" t="s">
        <v>13</v>
      </c>
      <c r="I1" s="7" t="s">
        <v>14</v>
      </c>
      <c r="J1" s="8" t="s">
        <v>15</v>
      </c>
      <c r="K1" s="9" t="s">
        <v>16</v>
      </c>
      <c r="L1" s="6" t="s">
        <v>2</v>
      </c>
      <c r="M1" s="6" t="s">
        <v>7</v>
      </c>
      <c r="N1" s="6" t="s">
        <v>24</v>
      </c>
      <c r="O1" s="6" t="s">
        <v>3</v>
      </c>
      <c r="P1" s="6" t="s">
        <v>25</v>
      </c>
      <c r="Q1" s="6" t="s">
        <v>4</v>
      </c>
      <c r="R1" s="6" t="s">
        <v>17</v>
      </c>
      <c r="S1" s="6" t="s">
        <v>5</v>
      </c>
      <c r="T1" s="6" t="s">
        <v>6</v>
      </c>
    </row>
    <row r="2" spans="1:23" s="1" customFormat="1" ht="38.25" x14ac:dyDescent="0.2">
      <c r="A2" s="28" t="str">
        <f>CONCATENATE(ЕгрюлБанки[[#This Row],[Название краткое]])</f>
        <v>Банк ВТБ (ПАО)</v>
      </c>
      <c r="B2" s="50" t="s">
        <v>29</v>
      </c>
      <c r="C2" s="30" t="s">
        <v>55</v>
      </c>
      <c r="D2" s="20" t="str">
        <f>РазобратьJson(ЕгрюлБанки[[#This Row],[JSON Исходник]],"suggestions",1,"value")</f>
        <v>Банк ВТБ (ПАО)</v>
      </c>
      <c r="E2" s="20" t="str">
        <f>IF(ЕгрюлБанки[[#This Row],[my_Платежное наименование]]&lt;&gt;"",ЕгрюлБанки[[#This Row],[my_Платежное наименование]],РазобратьJson(ЕгрюлБанки[[#This Row],[JSON Исходник]],"suggestions",1,"data","name","payment"))</f>
        <v>БАНК ВТБ (ПАО)</v>
      </c>
      <c r="F2" s="11"/>
      <c r="G2" s="20" t="str">
        <f>РазобратьJson(ЕгрюлБанки[[#This Row],[JSON Исходник]],"suggestions",1,"data","bic")</f>
        <v>044525187</v>
      </c>
      <c r="H2" s="20" t="str">
        <f>IF(РазобратьJson(ЕгрюлБанки[[#This Row],[JSON Исходник]],"suggestions",1,"data","correspondent_account")&lt;&gt;"",РазобратьJson(ЕгрюлБанки[[#This Row],[JSON Исходник]],"suggestions",1,"data","correspondent_account"),"")</f>
        <v>30101810700000000187</v>
      </c>
      <c r="I2" s="20" t="str">
        <f>IF(РазобратьJson(ЕгрюлБанки[[#This Row],[JSON Исходник]],"suggestions",1,"data","swift")&lt;&gt;"",РазобратьJson(ЕгрюлБанки[[#This Row],[JSON Исходник]],"suggestions",1,"data","swift"),"")</f>
        <v>VTBRRUMMXXX</v>
      </c>
      <c r="J2" s="20" t="str">
        <f>IF(РазобратьJson(ЕгрюлБанки[[#This Row],[JSON Исходник]],"suggestions",1,"data","registration_number")&lt;&gt;"",РазобратьJson(ЕгрюлБанки[[#This Row],[JSON Исходник]],"suggestions",1,"data","registration_number"),"")</f>
        <v>1000</v>
      </c>
      <c r="K2" s="22">
        <f>IF(РазобратьJson(ЕгрюлБанки[[#This Row],[JSON Исходник]],"suggestions",1,"data","state","registration_date")&lt;&gt;"",DATE(1970,1,1)+РазобратьJson(ЕгрюлБанки[[#This Row],[JSON Исходник]],"suggestions",1,"data","state","registration_date")/1000/60/60/24,"")</f>
        <v>33163</v>
      </c>
      <c r="L2" s="20" t="str">
        <f>IF(РазобратьJson(ЕгрюлБанки[[#This Row],[JSON Исходник]],"suggestions",1,"data","opf","type")="BANK","Банк",IF(РазобратьJson(ЕгрюлБанки[[#This Row],[JSON Исходник]],"suggestions",1,"data","opf","type")="BANK_BRANCH","Филиал банка",IF(РазобратьJson(ЕгрюлБанки[[#This Row],[JSON Исходник]],"suggestions",1,"data","opf","type")="NKO","НКО",IF(РазобратьJson(ЕгрюлБанки[[#This Row],[JSON Исходник]],"suggestions",1,"data","opf","type")="NKO_BRANCH","филиал НКО",IF(РазобратьJson(ЕгрюлБанки[[#This Row],[JSON Исходник]],"suggestions",1,"data","opf","type")="RKC","расчетно-кассовый центр","Другой")))))</f>
        <v>Банк</v>
      </c>
      <c r="M2" s="27" t="str">
        <f>IF(ЕгрюлБанки[[#This Row],[my_Индекс]]&lt;&gt;"",ЕгрюлБанки[[#This Row],[my_Индекс]],РазобратьJson(ЕгрюлБанки[[#This Row],[JSON Исходник]],"suggestions",1,"data","address","data","postal_code"))</f>
        <v>123112</v>
      </c>
      <c r="N2" s="13"/>
      <c r="O2" s="20" t="str">
        <f>IF(ЕгрюлБанки[[#This Row],[my_Адрес]]&lt;&gt;"",ЕгрюлБанки[[#This Row],[my_Адрес]],РазобратьJson(ЕгрюлБанки[[#This Row],[JSON Исходник]],"suggestions",1,"data","address","value"))</f>
        <v>г Москва, Пресненская наб, д 12</v>
      </c>
      <c r="P2" s="3"/>
      <c r="Q2" s="23" t="str">
        <f>РазобратьJson(ЕгрюлБанки[[#This Row],[JSON Исходник]],"suggestions",1,"data","address","unrestricted_value")</f>
        <v>123112, г Москва, Пресненский р-н, Пресненская наб, д 12</v>
      </c>
      <c r="R2" s="23" t="str">
        <f>РазобратьJson(ЕгрюлБанки[[#This Row],[JSON Исходник]],"suggestions",1,"data","address","data","source")</f>
        <v>123100, г Москва, Пресненская наб. 12</v>
      </c>
      <c r="S2" s="20" t="str">
        <f>IF(РазобратьJson(ЕгрюлБанки[[#This Row],[JSON Исходник]],"suggestions",1,"data","address","data","qc")="0","Распознан","Надо проверить")</f>
        <v>Распознан</v>
      </c>
      <c r="T2" s="23" t="str">
        <f>IF(РазобратьJson(ЕгрюлБанки[[#This Row],[JSON Исходник]],"suggestions",1,"data","state","status")="ACTIVE","Действующая",IF(РазобратьJson(ЕгрюлБанки[[#This Row],[JSON Исходник]],"suggestions",1,"data","state","status")="LIQUIDATING","Ликвидируемая",IF(РазобратьJson(ЕгрюлБанки[[#This Row],[JSON Исходник]],"suggestions",1,"data","state","status")="LIQUIDATED","Ликвидированная","Присоединяемая")))</f>
        <v>Действующая</v>
      </c>
      <c r="W2" s="2"/>
    </row>
    <row r="3" spans="1:23" ht="25.5" x14ac:dyDescent="0.2">
      <c r="A3" s="29" t="str">
        <f>CONCATENATE(ЕгрюлБанки[[#This Row],[Название краткое]])</f>
        <v>ГУ БАНКА РОССИИ ПО ЦФО</v>
      </c>
      <c r="B3" s="18" t="s">
        <v>22</v>
      </c>
      <c r="C3" s="31" t="s">
        <v>21</v>
      </c>
      <c r="D3" s="21" t="str">
        <f>РазобратьJson(ЕгрюлБанки[[#This Row],[JSON Исходник]],"suggestions",1,"value")</f>
        <v>ГУ БАНКА РОССИИ ПО ЦФО</v>
      </c>
      <c r="E3" s="21" t="str">
        <f>IF(ЕгрюлБанки[[#This Row],[my_Платежное наименование]]&lt;&gt;"",ЕгрюлБанки[[#This Row],[my_Платежное наименование]],РазобратьJson(ЕгрюлБанки[[#This Row],[JSON Исходник]],"suggestions",1,"data","name","payment"))</f>
        <v>ГУ БАНКА РОССИИ ПО ЦФО</v>
      </c>
      <c r="F3" s="12"/>
      <c r="G3" s="21" t="str">
        <f>РазобратьJson(ЕгрюлБанки[[#This Row],[JSON Исходник]],"suggestions",1,"data","bic")</f>
        <v>044525000</v>
      </c>
      <c r="H3" s="21" t="str">
        <f>IF(РазобратьJson(ЕгрюлБанки[[#This Row],[JSON Исходник]],"suggestions",1,"data","correspondent_account")&lt;&gt;"",РазобратьJson(ЕгрюлБанки[[#This Row],[JSON Исходник]],"suggestions",1,"data","correspondent_account"),"")</f>
        <v/>
      </c>
      <c r="I3" s="21" t="str">
        <f>IF(РазобратьJson(ЕгрюлБанки[[#This Row],[JSON Исходник]],"suggestions",1,"data","swift")&lt;&gt;"",РазобратьJson(ЕгрюлБанки[[#This Row],[JSON Исходник]],"suggestions",1,"data","swift"),"")</f>
        <v/>
      </c>
      <c r="J3" s="21" t="str">
        <f>IF(РазобратьJson(ЕгрюлБанки[[#This Row],[JSON Исходник]],"suggestions",1,"data","registration_number")&lt;&gt;"",РазобратьJson(ЕгрюлБанки[[#This Row],[JSON Исходник]],"suggestions",1,"data","registration_number"),"")</f>
        <v/>
      </c>
      <c r="K3" s="24" t="str">
        <f>IF(РазобратьJson(ЕгрюлБанки[[#This Row],[JSON Исходник]],"suggestions",1,"data","state","registration_date")&lt;&gt;"",DATE(1970,1,1)+РазобратьJson(ЕгрюлБанки[[#This Row],[JSON Исходник]],"suggestions",1,"data","state","registration_date")/1000/60/60/24,"")</f>
        <v/>
      </c>
      <c r="L3" s="21" t="str">
        <f>IF(РазобратьJson(ЕгрюлБанки[[#This Row],[JSON Исходник]],"suggestions",1,"data","opf","type")="BANK","Банк",IF(РазобратьJson(ЕгрюлБанки[[#This Row],[JSON Исходник]],"suggestions",1,"data","opf","type")="BANK_BRANCH","Филиал банка",IF(РазобратьJson(ЕгрюлБанки[[#This Row],[JSON Исходник]],"suggestions",1,"data","opf","type")="NKO","НКО",IF(РазобратьJson(ЕгрюлБанки[[#This Row],[JSON Исходник]],"suggestions",1,"data","opf","type")="NKO_BRANCH","филиал НКО",IF(РазобратьJson(ЕгрюлБанки[[#This Row],[JSON Исходник]],"suggestions",1,"data","opf","type")="RKC","расчетно-кассовый центр","Другой")))))</f>
        <v>расчетно-кассовый центр</v>
      </c>
      <c r="M3" s="26" t="str">
        <f>IF(ЕгрюлБанки[[#This Row],[my_Индекс]]&lt;&gt;"",ЕгрюлБанки[[#This Row],[my_Индекс]],РазобратьJson(ЕгрюлБанки[[#This Row],[JSON Исходник]],"suggestions",1,"data","address","data","postal_code"))</f>
        <v>115035</v>
      </c>
      <c r="N3" s="14"/>
      <c r="O3" s="25" t="str">
        <f>IF(ЕгрюлБанки[[#This Row],[my_Адрес]]&lt;&gt;"",ЕгрюлБанки[[#This Row],[my_Адрес]],РазобратьJson(ЕгрюлБанки[[#This Row],[JSON Исходник]],"suggestions",1,"data","address","value"))</f>
        <v>115035, Москва 35, ул Балчуг, 2</v>
      </c>
      <c r="P3" s="10"/>
      <c r="Q3" s="25" t="str">
        <f>РазобратьJson(ЕгрюлБанки[[#This Row],[JSON Исходник]],"suggestions",1,"data","address","unrestricted_value")</f>
        <v>115035, Москва 35, ул Балчуг, 2</v>
      </c>
      <c r="R3" s="25" t="str">
        <f>РазобратьJson(ЕгрюлБанки[[#This Row],[JSON Исходник]],"suggestions",1,"data","address","data","source")</f>
        <v>115035, Москва 35, ул Балчуг, 2</v>
      </c>
      <c r="S3" s="21" t="str">
        <f>IF(РазобратьJson(ЕгрюлБанки[[#This Row],[JSON Исходник]],"suggestions",1,"data","address","data","qc")="0","Распознан","Надо проверить")</f>
        <v>Надо проверить</v>
      </c>
      <c r="T3" s="25" t="str">
        <f>IF(РазобратьJson(ЕгрюлБанки[[#This Row],[JSON Исходник]],"suggestions",1,"data","state","status")="ACTIVE","Действующая",IF(РазобратьJson(ЕгрюлБанки[[#This Row],[JSON Исходник]],"suggestions",1,"data","state","status")="LIQUIDATING","Ликвидируемая",IF(РазобратьJson(ЕгрюлБанки[[#This Row],[JSON Исходник]],"suggestions",1,"data","state","status")="LIQUIDATED","Ликвидированная","Присоединяемая")))</f>
        <v>Действующая</v>
      </c>
    </row>
    <row r="4" spans="1:23" ht="38.25" x14ac:dyDescent="0.2">
      <c r="A4" s="29" t="str">
        <f>CONCATENATE(ЕгрюлБанки[[#This Row],[Название краткое]])</f>
        <v>СБЕРБАНК РОССИИ</v>
      </c>
      <c r="B4" s="50" t="s">
        <v>9</v>
      </c>
      <c r="C4" s="31" t="s">
        <v>10</v>
      </c>
      <c r="D4" s="25" t="str">
        <f>РазобратьJson(ЕгрюлБанки[[#This Row],[JSON Исходник]],"suggestions",1,"value")</f>
        <v>СБЕРБАНК РОССИИ</v>
      </c>
      <c r="E4" s="25" t="str">
        <f>IF(ЕгрюлБанки[[#This Row],[my_Платежное наименование]]&lt;&gt;"",ЕгрюлБанки[[#This Row],[my_Платежное наименование]],РазобратьJson(ЕгрюлБанки[[#This Row],[JSON Исходник]],"suggestions",1,"data","name","payment"))</f>
        <v>ПАО Сбербанк</v>
      </c>
      <c r="F4" s="10" t="s">
        <v>27</v>
      </c>
      <c r="G4" s="25" t="str">
        <f>РазобратьJson(ЕгрюлБанки[[#This Row],[JSON Исходник]],"suggestions",1,"data","bic")</f>
        <v>044525225</v>
      </c>
      <c r="H4" s="25" t="str">
        <f>IF(РазобратьJson(ЕгрюлБанки[[#This Row],[JSON Исходник]],"suggestions",1,"data","correspondent_account")&lt;&gt;"",РазобратьJson(ЕгрюлБанки[[#This Row],[JSON Исходник]],"suggestions",1,"data","correspondent_account"),"")</f>
        <v>30101810400000000225</v>
      </c>
      <c r="I4" s="25" t="str">
        <f>IF(РазобратьJson(ЕгрюлБанки[[#This Row],[JSON Исходник]],"suggestions",1,"data","swift")&lt;&gt;"",РазобратьJson(ЕгрюлБанки[[#This Row],[JSON Исходник]],"suggestions",1,"data","swift"),"")</f>
        <v>SABRRUMMXXX</v>
      </c>
      <c r="J4" s="25" t="str">
        <f>IF(РазобратьJson(ЕгрюлБанки[[#This Row],[JSON Исходник]],"suggestions",1,"data","registration_number")&lt;&gt;"",РазобратьJson(ЕгрюлБанки[[#This Row],[JSON Исходник]],"suggestions",1,"data","registration_number"),"")</f>
        <v>1481</v>
      </c>
      <c r="K4" s="24">
        <f>IF(РазобратьJson(ЕгрюлБанки[[#This Row],[JSON Исходник]],"suggestions",1,"data","state","registration_date")&lt;&gt;"",DATE(1970,1,1)+РазобратьJson(ЕгрюлБанки[[#This Row],[JSON Исходник]],"suggestions",1,"data","state","registration_date")/1000/60/60/24,"")</f>
        <v>33409</v>
      </c>
      <c r="L4" s="25" t="str">
        <f>IF(РазобратьJson(ЕгрюлБанки[[#This Row],[JSON Исходник]],"suggestions",1,"data","opf","type")="BANK","Банк",IF(РазобратьJson(ЕгрюлБанки[[#This Row],[JSON Исходник]],"suggestions",1,"data","opf","type")="BANK_BRANCH","Филиал банка",IF(РазобратьJson(ЕгрюлБанки[[#This Row],[JSON Исходник]],"suggestions",1,"data","opf","type")="NKO","НКО",IF(РазобратьJson(ЕгрюлБанки[[#This Row],[JSON Исходник]],"suggestions",1,"data","opf","type")="NKO_BRANCH","филиал НКО",IF(РазобратьJson(ЕгрюлБанки[[#This Row],[JSON Исходник]],"suggestions",1,"data","opf","type")="RKC","расчетно-кассовый центр","Другой")))))</f>
        <v>Банк</v>
      </c>
      <c r="M4" s="26" t="str">
        <f>IF(ЕгрюлБанки[[#This Row],[my_Индекс]]&lt;&gt;"",ЕгрюлБанки[[#This Row],[my_Индекс]],РазобратьJson(ЕгрюлБанки[[#This Row],[JSON Исходник]],"suggestions",1,"data","address","data","postal_code"))</f>
        <v>117312</v>
      </c>
      <c r="N4" s="14"/>
      <c r="O4" s="25" t="str">
        <f>IF(ЕгрюлБанки[[#This Row],[my_Адрес]]&lt;&gt;"",ЕгрюлБанки[[#This Row],[my_Адрес]],РазобратьJson(ЕгрюлБанки[[#This Row],[JSON Исходник]],"suggestions",1,"data","address","value"))</f>
        <v>г Москва, ул Вавилова, д 19</v>
      </c>
      <c r="P4" s="10"/>
      <c r="Q4" s="25" t="str">
        <f>РазобратьJson(ЕгрюлБанки[[#This Row],[JSON Исходник]],"suggestions",1,"data","address","unrestricted_value")</f>
        <v>г Москва, Академический р-н, ул Вавилова, д 19</v>
      </c>
      <c r="R4" s="25" t="str">
        <f>РазобратьJson(ЕгрюлБанки[[#This Row],[JSON Исходник]],"suggestions",1,"data","address","data","source")</f>
        <v>117997, Москва, ул Вавилова, 19</v>
      </c>
      <c r="S4" s="25" t="str">
        <f>IF(РазобратьJson(ЕгрюлБанки[[#This Row],[JSON Исходник]],"suggestions",1,"data","address","data","qc")="0","Распознан","Надо проверить")</f>
        <v>Распознан</v>
      </c>
      <c r="T4" s="25" t="str">
        <f>IF(РазобратьJson(ЕгрюлБанки[[#This Row],[JSON Исходник]],"suggestions",1,"data","state","status")="ACTIVE","Действующая",IF(РазобратьJson(ЕгрюлБанки[[#This Row],[JSON Исходник]],"suggestions",1,"data","state","status")="LIQUIDATING","Ликвидируемая",IF(РазобратьJson(ЕгрюлБанки[[#This Row],[JSON Исходник]],"suggestions",1,"data","state","status")="LIQUIDATED","Ликвидированная","Присоединяемая")))</f>
        <v>Действующая</v>
      </c>
    </row>
    <row r="5" spans="1:23" ht="51" x14ac:dyDescent="0.2">
      <c r="A5" s="40" t="str">
        <f>CONCATENATE(ЕгрюлБанки[[#This Row],[Название краткое]])</f>
        <v>СВЯЗЬ-БАНК</v>
      </c>
      <c r="B5" s="18" t="s">
        <v>30</v>
      </c>
      <c r="C5" s="38" t="s">
        <v>31</v>
      </c>
      <c r="D5" s="34" t="str">
        <f>РазобратьJson(ЕгрюлБанки[[#This Row],[JSON Исходник]],"suggestions",1,"value")</f>
        <v>СВЯЗЬ-БАНК</v>
      </c>
      <c r="E5" s="34" t="str">
        <f>IF(ЕгрюлБанки[[#This Row],[my_Платежное наименование]]&lt;&gt;"",ЕгрюлБанки[[#This Row],[my_Платежное наименование]],РазобратьJson(ЕгрюлБанки[[#This Row],[JSON Исходник]],"suggestions",1,"data","name","payment"))</f>
        <v>ПАО АКБ "СВЯЗЬ-БАНК"</v>
      </c>
      <c r="F5" s="32"/>
      <c r="G5" s="34" t="str">
        <f>РазобратьJson(ЕгрюлБанки[[#This Row],[JSON Исходник]],"suggestions",1,"data","bic")</f>
        <v>044525848</v>
      </c>
      <c r="H5" s="34" t="str">
        <f>IF(РазобратьJson(ЕгрюлБанки[[#This Row],[JSON Исходник]],"suggestions",1,"data","correspondent_account")&lt;&gt;"",РазобратьJson(ЕгрюлБанки[[#This Row],[JSON Исходник]],"suggestions",1,"data","correspondent_account"),"")</f>
        <v>30101810900000000848</v>
      </c>
      <c r="I5" s="34" t="str">
        <f>IF(РазобратьJson(ЕгрюлБанки[[#This Row],[JSON Исходник]],"suggestions",1,"data","swift")&lt;&gt;"",РазобратьJson(ЕгрюлБанки[[#This Row],[JSON Исходник]],"suggestions",1,"data","swift"),"")</f>
        <v>SVIZRUMMXXX</v>
      </c>
      <c r="J5" s="34" t="str">
        <f>IF(РазобратьJson(ЕгрюлБанки[[#This Row],[JSON Исходник]],"suggestions",1,"data","registration_number")&lt;&gt;"",РазобратьJson(ЕгрюлБанки[[#This Row],[JSON Исходник]],"suggestions",1,"data","registration_number"),"")</f>
        <v>1470</v>
      </c>
      <c r="K5" s="35">
        <f>IF(РазобратьJson(ЕгрюлБанки[[#This Row],[JSON Исходник]],"suggestions",1,"data","state","registration_date")&lt;&gt;"",DATE(1970,1,1)+РазобратьJson(ЕгрюлБанки[[#This Row],[JSON Исходник]],"suggestions",1,"data","state","registration_date")/1000/60/60/24,"")</f>
        <v>33378</v>
      </c>
      <c r="L5" s="34" t="str">
        <f>IF(РазобратьJson(ЕгрюлБанки[[#This Row],[JSON Исходник]],"suggestions",1,"data","opf","type")="BANK","Банк",IF(РазобратьJson(ЕгрюлБанки[[#This Row],[JSON Исходник]],"suggestions",1,"data","opf","type")="BANK_BRANCH","Филиал банка",IF(РазобратьJson(ЕгрюлБанки[[#This Row],[JSON Исходник]],"suggestions",1,"data","opf","type")="NKO","НКО",IF(РазобратьJson(ЕгрюлБанки[[#This Row],[JSON Исходник]],"suggestions",1,"data","opf","type")="NKO_BRANCH","филиал НКО",IF(РазобратьJson(ЕгрюлБанки[[#This Row],[JSON Исходник]],"suggestions",1,"data","opf","type")="RKC","расчетно-кассовый центр","Другой")))))</f>
        <v>Банк</v>
      </c>
      <c r="M5" s="37" t="str">
        <f>IF(ЕгрюлБанки[[#This Row],[my_Индекс]]&lt;&gt;"",ЕгрюлБанки[[#This Row],[my_Индекс]],РазобратьJson(ЕгрюлБанки[[#This Row],[JSON Исходник]],"suggestions",1,"data","address","data","postal_code"))</f>
        <v>105066</v>
      </c>
      <c r="N5" s="39"/>
      <c r="O5" s="34" t="str">
        <f>IF(ЕгрюлБанки[[#This Row],[my_Адрес]]&lt;&gt;"",ЕгрюлБанки[[#This Row],[my_Адрес]],РазобратьJson(ЕгрюлБанки[[#This Row],[JSON Исходник]],"suggestions",1,"data","address","value"))</f>
        <v>г Москва, ул Новорязанская, д 31/7, кв 2</v>
      </c>
      <c r="P5" s="33"/>
      <c r="Q5" s="36" t="str">
        <f>РазобратьJson(ЕгрюлБанки[[#This Row],[JSON Исходник]],"suggestions",1,"data","address","unrestricted_value")</f>
        <v>г Москва, Басманный р-н, ул Новорязанская, д 31/7, кв 2</v>
      </c>
      <c r="R5" s="36" t="str">
        <f>РазобратьJson(ЕгрюлБанки[[#This Row],[JSON Исходник]],"suggestions",1,"data","address","data","source")</f>
        <v>105066, Москва, ул Новорязанская, 31/7-2</v>
      </c>
      <c r="S5" s="34" t="str">
        <f>IF(РазобратьJson(ЕгрюлБанки[[#This Row],[JSON Исходник]],"suggestions",1,"data","address","data","qc")="0","Распознан","Надо проверить")</f>
        <v>Распознан</v>
      </c>
      <c r="T5" s="36" t="str">
        <f>IF(РазобратьJson(ЕгрюлБанки[[#This Row],[JSON Исходник]],"suggestions",1,"data","state","status")="ACTIVE","Действующая",IF(РазобратьJson(ЕгрюлБанки[[#This Row],[JSON Исходник]],"suggestions",1,"data","state","status")="LIQUIDATING","Ликвидируемая",IF(РазобратьJson(ЕгрюлБанки[[#This Row],[JSON Исходник]],"suggestions",1,"data","state","status")="LIQUIDATED","Ликвидированная","Присоединяемая")))</f>
        <v>Действующая</v>
      </c>
    </row>
    <row r="6" spans="1:23" ht="63.75" x14ac:dyDescent="0.2">
      <c r="A6" s="44" t="str">
        <f>CONCATENATE(ЕгрюлБанки[[#This Row],[Название краткое]])</f>
        <v>СЕВЕРО-КАВКАЗСКИЙ ФИЛИАЛ ПАО АКБ "СВЯЗЬ-БАНК"</v>
      </c>
      <c r="B6" s="18" t="s">
        <v>32</v>
      </c>
      <c r="C6" s="49" t="s">
        <v>33</v>
      </c>
      <c r="D6" s="45" t="str">
        <f>РазобратьJson(ЕгрюлБанки[[#This Row],[JSON Исходник]],"suggestions",1,"value")</f>
        <v>СЕВЕРО-КАВКАЗСКИЙ ФИЛИАЛ ПАО АКБ "СВЯЗЬ-БАНК"</v>
      </c>
      <c r="E6" s="45" t="str">
        <f>IF(ЕгрюлБанки[[#This Row],[my_Платежное наименование]]&lt;&gt;"",ЕгрюлБанки[[#This Row],[my_Платежное наименование]],РазобратьJson(ЕгрюлБанки[[#This Row],[JSON Исходник]],"suggestions",1,"data","name","payment"))</f>
        <v>СЕВЕРО-КАВКАЗСКИЙ ФИЛИАЛ ПАО АКБ "СВЯЗЬ-БАНК"</v>
      </c>
      <c r="F6" s="41"/>
      <c r="G6" s="45" t="str">
        <f>РазобратьJson(ЕгрюлБанки[[#This Row],[JSON Исходник]],"suggestions",1,"data","bic")</f>
        <v>049133840</v>
      </c>
      <c r="H6" s="45" t="str">
        <f>IF(РазобратьJson(ЕгрюлБанки[[#This Row],[JSON Исходник]],"suggestions",1,"data","correspondent_account")&lt;&gt;"",РазобратьJson(ЕгрюлБанки[[#This Row],[JSON Исходник]],"suggestions",1,"data","correspondent_account"),"")</f>
        <v>30101810000000000840</v>
      </c>
      <c r="I6" s="45" t="str">
        <f>IF(РазобратьJson(ЕгрюлБанки[[#This Row],[JSON Исходник]],"suggestions",1,"data","swift")&lt;&gt;"",РазобратьJson(ЕгрюлБанки[[#This Row],[JSON Исходник]],"suggestions",1,"data","swift"),"")</f>
        <v/>
      </c>
      <c r="J6" s="45" t="str">
        <f>IF(РазобратьJson(ЕгрюлБанки[[#This Row],[JSON Исходник]],"suggestions",1,"data","registration_number")&lt;&gt;"",РазобратьJson(ЕгрюлБанки[[#This Row],[JSON Исходник]],"suggestions",1,"data","registration_number"),"")</f>
        <v>1470/12</v>
      </c>
      <c r="K6" s="46" t="str">
        <f>IF(РазобратьJson(ЕгрюлБанки[[#This Row],[JSON Исходник]],"suggestions",1,"data","state","registration_date")&lt;&gt;"",DATE(1970,1,1)+РазобратьJson(ЕгрюлБанки[[#This Row],[JSON Исходник]],"suggestions",1,"data","state","registration_date")/1000/60/60/24,"")</f>
        <v/>
      </c>
      <c r="L6" s="45" t="str">
        <f>IF(РазобратьJson(ЕгрюлБанки[[#This Row],[JSON Исходник]],"suggestions",1,"data","opf","type")="BANK","Банк",IF(РазобратьJson(ЕгрюлБанки[[#This Row],[JSON Исходник]],"suggestions",1,"data","opf","type")="BANK_BRANCH","Филиал банка",IF(РазобратьJson(ЕгрюлБанки[[#This Row],[JSON Исходник]],"suggestions",1,"data","opf","type")="NKO","НКО",IF(РазобратьJson(ЕгрюлБанки[[#This Row],[JSON Исходник]],"suggestions",1,"data","opf","type")="NKO_BRANCH","филиал НКО",IF(РазобратьJson(ЕгрюлБанки[[#This Row],[JSON Исходник]],"suggestions",1,"data","opf","type")="RKC","расчетно-кассовый центр","Другой")))))</f>
        <v>Филиал банка</v>
      </c>
      <c r="M6" s="47" t="str">
        <f>IF(ЕгрюлБанки[[#This Row],[my_Индекс]]&lt;&gt;"",ЕгрюлБанки[[#This Row],[my_Индекс]],РазобратьJson(ЕгрюлБанки[[#This Row],[JSON Исходник]],"suggestions",1,"data","address","data","postal_code"))</f>
        <v>369000</v>
      </c>
      <c r="N6" s="42"/>
      <c r="O6" s="45" t="str">
        <f>IF(ЕгрюлБанки[[#This Row],[my_Адрес]]&lt;&gt;"",ЕгрюлБанки[[#This Row],[my_Адрес]],РазобратьJson(ЕгрюлБанки[[#This Row],[JSON Исходник]],"suggestions",1,"data","address","value"))</f>
        <v>г Черкесск, ул Пушкинская, д 71</v>
      </c>
      <c r="P6" s="43"/>
      <c r="Q6" s="48" t="str">
        <f>РазобратьJson(ЕгрюлБанки[[#This Row],[JSON Исходник]],"suggestions",1,"data","address","unrestricted_value")</f>
        <v>Карачаево-Черкесская Респ, г Черкесск, ул Пушкинская, д 71</v>
      </c>
      <c r="R6" s="48" t="str">
        <f>РазобратьJson(ЕгрюлБанки[[#This Row],[JSON Исходник]],"suggestions",1,"data","address","data","source")</f>
        <v>369000, Черкесск, ул Пушкинская, 71</v>
      </c>
      <c r="S6" s="45" t="str">
        <f>IF(РазобратьJson(ЕгрюлБанки[[#This Row],[JSON Исходник]],"suggestions",1,"data","address","data","qc")="0","Распознан","Надо проверить")</f>
        <v>Распознан</v>
      </c>
      <c r="T6" s="48" t="str">
        <f>IF(РазобратьJson(ЕгрюлБанки[[#This Row],[JSON Исходник]],"suggestions",1,"data","state","status")="ACTIVE","Действующая",IF(РазобратьJson(ЕгрюлБанки[[#This Row],[JSON Исходник]],"suggestions",1,"data","state","status")="LIQUIDATING","Ликвидируемая",IF(РазобратьJson(ЕгрюлБанки[[#This Row],[JSON Исходник]],"suggestions",1,"data","state","status")="LIQUIDATED","Ликвидированная","Присоединяемая")))</f>
        <v>Действующая</v>
      </c>
    </row>
    <row r="7" spans="1:23" ht="51" x14ac:dyDescent="0.2">
      <c r="A7" s="44" t="str">
        <f>CONCATENATE(ЕгрюлБанки[[#This Row],[Название краткое]])</f>
        <v>СТАВРОПОЛЬСКОЕ ОТДЕЛЕНИЕ N5230 ПАО СБЕРБАНК</v>
      </c>
      <c r="B7" s="18" t="s">
        <v>36</v>
      </c>
      <c r="C7" s="49" t="s">
        <v>37</v>
      </c>
      <c r="D7" s="45" t="str">
        <f>РазобратьJson(ЕгрюлБанки[[#This Row],[JSON Исходник]],"suggestions",1,"value")</f>
        <v>СТАВРОПОЛЬСКОЕ ОТДЕЛЕНИЕ N5230 ПАО СБЕРБАНК</v>
      </c>
      <c r="E7" s="45" t="str">
        <f>IF(ЕгрюлБанки[[#This Row],[my_Платежное наименование]]&lt;&gt;"",ЕгрюлБанки[[#This Row],[my_Платежное наименование]],РазобратьJson(ЕгрюлБанки[[#This Row],[JSON Исходник]],"suggestions",1,"data","name","payment"))</f>
        <v>СТАВРОПОЛЬСКОЕ ОТДЕЛЕНИЕ N5230 ПАО СБЕРБАНК</v>
      </c>
      <c r="F7" s="41"/>
      <c r="G7" s="45" t="str">
        <f>РазобратьJson(ЕгрюлБанки[[#This Row],[JSON Исходник]],"suggestions",1,"data","bic")</f>
        <v>040702615</v>
      </c>
      <c r="H7" s="45" t="str">
        <f>IF(РазобратьJson(ЕгрюлБанки[[#This Row],[JSON Исходник]],"suggestions",1,"data","correspondent_account")&lt;&gt;"",РазобратьJson(ЕгрюлБанки[[#This Row],[JSON Исходник]],"suggestions",1,"data","correspondent_account"),"")</f>
        <v>30101810907020000615</v>
      </c>
      <c r="I7" s="45" t="str">
        <f>IF(РазобратьJson(ЕгрюлБанки[[#This Row],[JSON Исходник]],"suggestions",1,"data","swift")&lt;&gt;"",РазобратьJson(ЕгрюлБанки[[#This Row],[JSON Исходник]],"suggestions",1,"data","swift"),"")</f>
        <v>SABRRUMMSP1</v>
      </c>
      <c r="J7" s="45" t="str">
        <f>IF(РазобратьJson(ЕгрюлБанки[[#This Row],[JSON Исходник]],"suggestions",1,"data","registration_number")&lt;&gt;"",РазобратьJson(ЕгрюлБанки[[#This Row],[JSON Исходник]],"suggestions",1,"data","registration_number"),"")</f>
        <v>1481/1426</v>
      </c>
      <c r="K7" s="46" t="str">
        <f>IF(РазобратьJson(ЕгрюлБанки[[#This Row],[JSON Исходник]],"suggestions",1,"data","state","registration_date")&lt;&gt;"",DATE(1970,1,1)+РазобратьJson(ЕгрюлБанки[[#This Row],[JSON Исходник]],"suggestions",1,"data","state","registration_date")/1000/60/60/24,"")</f>
        <v/>
      </c>
      <c r="L7" s="45" t="str">
        <f>IF(РазобратьJson(ЕгрюлБанки[[#This Row],[JSON Исходник]],"suggestions",1,"data","opf","type")="BANK","Банк",IF(РазобратьJson(ЕгрюлБанки[[#This Row],[JSON Исходник]],"suggestions",1,"data","opf","type")="BANK_BRANCH","Филиал банка",IF(РазобратьJson(ЕгрюлБанки[[#This Row],[JSON Исходник]],"suggestions",1,"data","opf","type")="NKO","НКО",IF(РазобратьJson(ЕгрюлБанки[[#This Row],[JSON Исходник]],"suggestions",1,"data","opf","type")="NKO_BRANCH","филиал НКО",IF(РазобратьJson(ЕгрюлБанки[[#This Row],[JSON Исходник]],"suggestions",1,"data","opf","type")="RKC","расчетно-кассовый центр","Другой")))))</f>
        <v>Филиал банка</v>
      </c>
      <c r="M7" s="47" t="str">
        <f>IF(ЕгрюлБанки[[#This Row],[my_Индекс]]&lt;&gt;"",ЕгрюлБанки[[#This Row],[my_Индекс]],РазобратьJson(ЕгрюлБанки[[#This Row],[JSON Исходник]],"suggestions",1,"data","address","data","postal_code"))</f>
        <v>355035</v>
      </c>
      <c r="N7" s="42"/>
      <c r="O7" s="45" t="str">
        <f>IF(ЕгрюлБанки[[#This Row],[my_Адрес]]&lt;&gt;"",ЕгрюлБанки[[#This Row],[my_Адрес]],РазобратьJson(ЕгрюлБанки[[#This Row],[JSON Исходник]],"suggestions",1,"data","address","value"))</f>
        <v>г Ставрополь, ул Ленина, д 361</v>
      </c>
      <c r="P7" s="43"/>
      <c r="Q7" s="48" t="str">
        <f>РазобратьJson(ЕгрюлБанки[[#This Row],[JSON Исходник]],"suggestions",1,"data","address","unrestricted_value")</f>
        <v>Ставропольский край, г Ставрополь, ул Ленина, д 361</v>
      </c>
      <c r="R7" s="48" t="str">
        <f>РазобратьJson(ЕгрюлБанки[[#This Row],[JSON Исходник]],"suggestions",1,"data","address","data","source")</f>
        <v>355035, Ставрополь, ул Ленина, 361</v>
      </c>
      <c r="S7" s="45" t="str">
        <f>IF(РазобратьJson(ЕгрюлБанки[[#This Row],[JSON Исходник]],"suggestions",1,"data","address","data","qc")="0","Распознан","Надо проверить")</f>
        <v>Распознан</v>
      </c>
      <c r="T7" s="48" t="str">
        <f>IF(РазобратьJson(ЕгрюлБанки[[#This Row],[JSON Исходник]],"suggestions",1,"data","state","status")="ACTIVE","Действующая",IF(РазобратьJson(ЕгрюлБанки[[#This Row],[JSON Исходник]],"suggestions",1,"data","state","status")="LIQUIDATING","Ликвидируемая",IF(РазобратьJson(ЕгрюлБанки[[#This Row],[JSON Исходник]],"suggestions",1,"data","state","status")="LIQUIDATED","Ликвидированная","Присоединяемая")))</f>
        <v>Действующая</v>
      </c>
    </row>
    <row r="8" spans="1:23" ht="51" x14ac:dyDescent="0.2">
      <c r="A8" s="44" t="str">
        <f>CONCATENATE(ЕгрюлБанки[[#This Row],[Название краткое]])</f>
        <v>ТИНЬКОФФ БАНК</v>
      </c>
      <c r="B8" s="18" t="s">
        <v>38</v>
      </c>
      <c r="C8" s="49" t="s">
        <v>41</v>
      </c>
      <c r="D8" s="45" t="str">
        <f>РазобратьJson(ЕгрюлБанки[[#This Row],[JSON Исходник]],"suggestions",1,"value")</f>
        <v>ТИНЬКОФФ БАНК</v>
      </c>
      <c r="E8" s="45" t="str">
        <f>IF(ЕгрюлБанки[[#This Row],[my_Платежное наименование]]&lt;&gt;"",ЕгрюлБанки[[#This Row],[my_Платежное наименование]],РазобратьJson(ЕгрюлБанки[[#This Row],[JSON Исходник]],"suggestions",1,"data","name","payment"))</f>
        <v>АО "ТИНЬКОФФ БАНК"</v>
      </c>
      <c r="F8" s="41"/>
      <c r="G8" s="45" t="str">
        <f>РазобратьJson(ЕгрюлБанки[[#This Row],[JSON Исходник]],"suggestions",1,"data","bic")</f>
        <v>044525974</v>
      </c>
      <c r="H8" s="45" t="str">
        <f>IF(РазобратьJson(ЕгрюлБанки[[#This Row],[JSON Исходник]],"suggestions",1,"data","correspondent_account")&lt;&gt;"",РазобратьJson(ЕгрюлБанки[[#This Row],[JSON Исходник]],"suggestions",1,"data","correspondent_account"),"")</f>
        <v>30101810145250000974</v>
      </c>
      <c r="I8" s="45" t="str">
        <f>IF(РазобратьJson(ЕгрюлБанки[[#This Row],[JSON Исходник]],"suggestions",1,"data","swift")&lt;&gt;"",РазобратьJson(ЕгрюлБанки[[#This Row],[JSON Исходник]],"suggestions",1,"data","swift"),"")</f>
        <v>TICSRUMMXXX</v>
      </c>
      <c r="J8" s="45" t="str">
        <f>IF(РазобратьJson(ЕгрюлБанки[[#This Row],[JSON Исходник]],"suggestions",1,"data","registration_number")&lt;&gt;"",РазобратьJson(ЕгрюлБанки[[#This Row],[JSON Исходник]],"suggestions",1,"data","registration_number"),"")</f>
        <v>2673</v>
      </c>
      <c r="K8" s="46">
        <f>IF(РазобратьJson(ЕгрюлБанки[[#This Row],[JSON Исходник]],"suggestions",1,"data","state","registration_date")&lt;&gt;"",DATE(1970,1,1)+РазобратьJson(ЕгрюлБанки[[#This Row],[JSON Исходник]],"suggestions",1,"data","state","registration_date")/1000/60/60/24,"")</f>
        <v>34362</v>
      </c>
      <c r="L8" s="45" t="str">
        <f>IF(РазобратьJson(ЕгрюлБанки[[#This Row],[JSON Исходник]],"suggestions",1,"data","opf","type")="BANK","Банк",IF(РазобратьJson(ЕгрюлБанки[[#This Row],[JSON Исходник]],"suggestions",1,"data","opf","type")="BANK_BRANCH","Филиал банка",IF(РазобратьJson(ЕгрюлБанки[[#This Row],[JSON Исходник]],"suggestions",1,"data","opf","type")="NKO","НКО",IF(РазобратьJson(ЕгрюлБанки[[#This Row],[JSON Исходник]],"suggestions",1,"data","opf","type")="NKO_BRANCH","филиал НКО",IF(РазобратьJson(ЕгрюлБанки[[#This Row],[JSON Исходник]],"suggestions",1,"data","opf","type")="RKC","расчетно-кассовый центр","Другой")))))</f>
        <v>Банк</v>
      </c>
      <c r="M8" s="47" t="str">
        <f>IF(ЕгрюлБанки[[#This Row],[my_Индекс]]&lt;&gt;"",ЕгрюлБанки[[#This Row],[my_Индекс]],РазобратьJson(ЕгрюлБанки[[#This Row],[JSON Исходник]],"suggestions",1,"data","address","data","postal_code"))</f>
        <v>123060</v>
      </c>
      <c r="N8" s="42"/>
      <c r="O8" s="45" t="str">
        <f>IF(ЕгрюлБанки[[#This Row],[my_Адрес]]&lt;&gt;"",ЕгрюлБанки[[#This Row],[my_Адрес]],РазобратьJson(ЕгрюлБанки[[#This Row],[JSON Исходник]],"suggestions",1,"data","address","value"))</f>
        <v>г Москва, проезд Волоколамский 1-й, д 10 стр 1</v>
      </c>
      <c r="P8" s="43"/>
      <c r="Q8" s="48" t="str">
        <f>РазобратьJson(ЕгрюлБанки[[#This Row],[JSON Исходник]],"suggestions",1,"data","address","unrestricted_value")</f>
        <v>г Москва, р-н Щукино, проезд Волоколамский 1-й, д 10 стр 1</v>
      </c>
      <c r="R8" s="48" t="str">
        <f>РазобратьJson(ЕгрюлБанки[[#This Row],[JSON Исходник]],"suggestions",1,"data","address","data","source")</f>
        <v>123060, Москва, 1-й  Волоколамс пр-д, 10, стр 1</v>
      </c>
      <c r="S8" s="45" t="str">
        <f>IF(РазобратьJson(ЕгрюлБанки[[#This Row],[JSON Исходник]],"suggestions",1,"data","address","data","qc")="0","Распознан","Надо проверить")</f>
        <v>Распознан</v>
      </c>
      <c r="T8" s="48" t="str">
        <f>IF(РазобратьJson(ЕгрюлБанки[[#This Row],[JSON Исходник]],"suggestions",1,"data","state","status")="ACTIVE","Действующая",IF(РазобратьJson(ЕгрюлБанки[[#This Row],[JSON Исходник]],"suggestions",1,"data","state","status")="LIQUIDATING","Ликвидируемая",IF(РазобратьJson(ЕгрюлБанки[[#This Row],[JSON Исходник]],"suggestions",1,"data","state","status")="LIQUIDATED","Ликвидированная","Присоединяемая")))</f>
        <v>Действующая</v>
      </c>
    </row>
    <row r="9" spans="1:23" ht="51" x14ac:dyDescent="0.2">
      <c r="A9" s="29" t="str">
        <f>CONCATENATE(ЕгрюлБанки[[#This Row],[Название краткое]])</f>
        <v>УФК по г. Москве</v>
      </c>
      <c r="B9" s="18" t="s">
        <v>19</v>
      </c>
      <c r="C9" s="31" t="s">
        <v>20</v>
      </c>
      <c r="D9" s="21" t="str">
        <f>РазобратьJson(ЕгрюлБанки[[#This Row],[JSON Исходник]],"suggestions",1,"value")</f>
        <v>УФК по г. Москве</v>
      </c>
      <c r="E9" s="21" t="str">
        <f>IF(ЕгрюлБанки[[#This Row],[my_Платежное наименование]]&lt;&gt;"",ЕгрюлБанки[[#This Row],[my_Платежное наименование]],РазобратьJson(ЕгрюлБанки[[#This Row],[JSON Исходник]],"suggestions",1,"data","name","payment"))</f>
        <v>УФК по г. Москве</v>
      </c>
      <c r="F9" s="12"/>
      <c r="G9" s="21" t="str">
        <f>РазобратьJson(ЕгрюлБанки[[#This Row],[JSON Исходник]],"suggestions",1,"data","bic")</f>
        <v>044588101</v>
      </c>
      <c r="H9" s="21" t="str">
        <f>IF(РазобратьJson(ЕгрюлБанки[[#This Row],[JSON Исходник]],"suggestions",1,"data","correspondent_account")&lt;&gt;"",РазобратьJson(ЕгрюлБанки[[#This Row],[JSON Исходник]],"suggestions",1,"data","correspondent_account"),"")</f>
        <v/>
      </c>
      <c r="I9" s="21" t="str">
        <f>IF(РазобратьJson(ЕгрюлБанки[[#This Row],[JSON Исходник]],"suggestions",1,"data","swift")&lt;&gt;"",РазобратьJson(ЕгрюлБанки[[#This Row],[JSON Исходник]],"suggestions",1,"data","swift"),"")</f>
        <v/>
      </c>
      <c r="J9" s="21" t="str">
        <f>IF(РазобратьJson(ЕгрюлБанки[[#This Row],[JSON Исходник]],"suggestions",1,"data","registration_number")&lt;&gt;"",РазобратьJson(ЕгрюлБанки[[#This Row],[JSON Исходник]],"suggestions",1,"data","registration_number"),"")</f>
        <v/>
      </c>
      <c r="K9" s="24" t="str">
        <f>IF(РазобратьJson(ЕгрюлБанки[[#This Row],[JSON Исходник]],"suggestions",1,"data","state","registration_date")&lt;&gt;"",DATE(1970,1,1)+РазобратьJson(ЕгрюлБанки[[#This Row],[JSON Исходник]],"suggestions",1,"data","state","registration_date")/1000/60/60/24,"")</f>
        <v/>
      </c>
      <c r="L9" s="21" t="str">
        <f>IF(РазобратьJson(ЕгрюлБанки[[#This Row],[JSON Исходник]],"suggestions",1,"data","opf","type")="BANK","Банк",IF(РазобратьJson(ЕгрюлБанки[[#This Row],[JSON Исходник]],"suggestions",1,"data","opf","type")="BANK_BRANCH","Филиал банка",IF(РазобратьJson(ЕгрюлБанки[[#This Row],[JSON Исходник]],"suggestions",1,"data","opf","type")="NKO","НКО",IF(РазобратьJson(ЕгрюлБанки[[#This Row],[JSON Исходник]],"suggestions",1,"data","opf","type")="NKO_BRANCH","филиал НКО",IF(РазобратьJson(ЕгрюлБанки[[#This Row],[JSON Исходник]],"suggestions",1,"data","opf","type")="RKC","расчетно-кассовый центр","Другой")))))</f>
        <v>Другой</v>
      </c>
      <c r="M9" s="26" t="str">
        <f>IF(ЕгрюлБанки[[#This Row],[my_Индекс]]&lt;&gt;"",ЕгрюлБанки[[#This Row],[my_Индекс]],РазобратьJson(ЕгрюлБанки[[#This Row],[JSON Исходник]],"suggestions",1,"data","address","data","postal_code"))</f>
        <v>115191</v>
      </c>
      <c r="N9" s="14"/>
      <c r="O9" s="25" t="str">
        <f>IF(ЕгрюлБанки[[#This Row],[my_Адрес]]&lt;&gt;"",ЕгрюлБанки[[#This Row],[my_Адрес]],РазобратьJson(ЕгрюлБанки[[#This Row],[JSON Исходник]],"suggestions",1,"data","address","value"))</f>
        <v>г Москва, ул Рощинская 3-я, д 3 стр 1</v>
      </c>
      <c r="P9" s="10"/>
      <c r="Q9" s="25" t="str">
        <f>РазобратьJson(ЕгрюлБанки[[#This Row],[JSON Исходник]],"suggestions",1,"data","address","unrestricted_value")</f>
        <v>г Москва, Даниловский р-н, ул Рощинская 3-я, д 3 стр 1</v>
      </c>
      <c r="R9" s="25" t="str">
        <f>РазобратьJson(ЕгрюлБанки[[#This Row],[JSON Исходник]],"suggestions",1,"data","address","data","source")</f>
        <v>115191, Москва, 3-я Рощинская ул, 3, стр 1</v>
      </c>
      <c r="S9" s="21" t="str">
        <f>IF(РазобратьJson(ЕгрюлБанки[[#This Row],[JSON Исходник]],"suggestions",1,"data","address","data","qc")="0","Распознан","Надо проверить")</f>
        <v>Распознан</v>
      </c>
      <c r="T9" s="25" t="str">
        <f>IF(РазобратьJson(ЕгрюлБанки[[#This Row],[JSON Исходник]],"suggestions",1,"data","state","status")="ACTIVE","Действующая",IF(РазобратьJson(ЕгрюлБанки[[#This Row],[JSON Исходник]],"suggestions",1,"data","state","status")="LIQUIDATING","Ликвидируемая",IF(РазобратьJson(ЕгрюлБанки[[#This Row],[JSON Исходник]],"suggestions",1,"data","state","status")="LIQUIDATED","Ликвидированная","Присоединяемая")))</f>
        <v>Действующая</v>
      </c>
    </row>
    <row r="10" spans="1:23" ht="38.25" x14ac:dyDescent="0.2">
      <c r="A10" s="44" t="str">
        <f>CONCATENATE(ЕгрюлБанки[[#This Row],[Название краткое]])</f>
        <v>ФИЛИАЛ "ВОЛЖСКИЙ" ПАО "СКБ-БАНК"</v>
      </c>
      <c r="B10" s="18" t="s">
        <v>34</v>
      </c>
      <c r="C10" s="49" t="s">
        <v>35</v>
      </c>
      <c r="D10" s="45" t="str">
        <f>РазобратьJson(ЕгрюлБанки[[#This Row],[JSON Исходник]],"suggestions",1,"value")</f>
        <v>ФИЛИАЛ "ВОЛЖСКИЙ" ПАО "СКБ-БАНК"</v>
      </c>
      <c r="E10" s="45" t="str">
        <f>IF(ЕгрюлБанки[[#This Row],[my_Платежное наименование]]&lt;&gt;"",ЕгрюлБанки[[#This Row],[my_Платежное наименование]],РазобратьJson(ЕгрюлБанки[[#This Row],[JSON Исходник]],"suggestions",1,"data","name","payment"))</f>
        <v>ФИЛИАЛ "ВОЛЖСКИЙ" ПАО "СКБ-БАНК"</v>
      </c>
      <c r="F10" s="41"/>
      <c r="G10" s="45" t="str">
        <f>РазобратьJson(ЕгрюлБанки[[#This Row],[JSON Исходник]],"suggestions",1,"data","bic")</f>
        <v>041856890</v>
      </c>
      <c r="H10" s="45" t="str">
        <f>IF(РазобратьJson(ЕгрюлБанки[[#This Row],[JSON Исходник]],"suggestions",1,"data","correspondent_account")&lt;&gt;"",РазобратьJson(ЕгрюлБанки[[#This Row],[JSON Исходник]],"suggestions",1,"data","correspondent_account"),"")</f>
        <v>30101810800000000890</v>
      </c>
      <c r="I10" s="45" t="str">
        <f>IF(РазобратьJson(ЕгрюлБанки[[#This Row],[JSON Исходник]],"suggestions",1,"data","swift")&lt;&gt;"",РазобратьJson(ЕгрюлБанки[[#This Row],[JSON Исходник]],"suggestions",1,"data","swift"),"")</f>
        <v/>
      </c>
      <c r="J10" s="45" t="str">
        <f>IF(РазобратьJson(ЕгрюлБанки[[#This Row],[JSON Исходник]],"suggestions",1,"data","registration_number")&lt;&gt;"",РазобратьJson(ЕгрюлБанки[[#This Row],[JSON Исходник]],"suggestions",1,"data","registration_number"),"")</f>
        <v>705/39</v>
      </c>
      <c r="K10" s="46" t="str">
        <f>IF(РазобратьJson(ЕгрюлБанки[[#This Row],[JSON Исходник]],"suggestions",1,"data","state","registration_date")&lt;&gt;"",DATE(1970,1,1)+РазобратьJson(ЕгрюлБанки[[#This Row],[JSON Исходник]],"suggestions",1,"data","state","registration_date")/1000/60/60/24,"")</f>
        <v/>
      </c>
      <c r="L10" s="45" t="str">
        <f>IF(РазобратьJson(ЕгрюлБанки[[#This Row],[JSON Исходник]],"suggestions",1,"data","opf","type")="BANK","Банк",IF(РазобратьJson(ЕгрюлБанки[[#This Row],[JSON Исходник]],"suggestions",1,"data","opf","type")="BANK_BRANCH","Филиал банка",IF(РазобратьJson(ЕгрюлБанки[[#This Row],[JSON Исходник]],"suggestions",1,"data","opf","type")="NKO","НКО",IF(РазобратьJson(ЕгрюлБанки[[#This Row],[JSON Исходник]],"suggestions",1,"data","opf","type")="NKO_BRANCH","филиал НКО",IF(РазобратьJson(ЕгрюлБанки[[#This Row],[JSON Исходник]],"suggestions",1,"data","opf","type")="RKC","расчетно-кассовый центр","Другой")))))</f>
        <v>Филиал банка</v>
      </c>
      <c r="M10" s="47" t="str">
        <f>IF(ЕгрюлБанки[[#This Row],[my_Индекс]]&lt;&gt;"",ЕгрюлБанки[[#This Row],[my_Индекс]],РазобратьJson(ЕгрюлБанки[[#This Row],[JSON Исходник]],"suggestions",1,"data","address","data","postal_code"))</f>
        <v>404111</v>
      </c>
      <c r="N10" s="42"/>
      <c r="O10" s="45" t="str">
        <f>IF(ЕгрюлБанки[[#This Row],[my_Адрес]]&lt;&gt;"",ЕгрюлБанки[[#This Row],[my_Адрес]],РазобратьJson(ЕгрюлБанки[[#This Row],[JSON Исходник]],"suggestions",1,"data","address","value"))</f>
        <v>Волгоградская обл, г Волжский, ул Сталинградская, д 7</v>
      </c>
      <c r="P10" s="43"/>
      <c r="Q10" s="48" t="str">
        <f>РазобратьJson(ЕгрюлБанки[[#This Row],[JSON Исходник]],"suggestions",1,"data","address","unrestricted_value")</f>
        <v>Волгоградская обл, г Волжский, ул Сталинградская, д 7</v>
      </c>
      <c r="R10" s="48" t="str">
        <f>РазобратьJson(ЕгрюлБанки[[#This Row],[JSON Исходник]],"suggestions",1,"data","address","data","source")</f>
        <v>404111, Волжский, ул Сталинградская, 7</v>
      </c>
      <c r="S10" s="45" t="str">
        <f>IF(РазобратьJson(ЕгрюлБанки[[#This Row],[JSON Исходник]],"suggestions",1,"data","address","data","qc")="0","Распознан","Надо проверить")</f>
        <v>Распознан</v>
      </c>
      <c r="T10" s="48" t="str">
        <f>IF(РазобратьJson(ЕгрюлБанки[[#This Row],[JSON Исходник]],"suggestions",1,"data","state","status")="ACTIVE","Действующая",IF(РазобратьJson(ЕгрюлБанки[[#This Row],[JSON Исходник]],"suggestions",1,"data","state","status")="LIQUIDATING","Ликвидируемая",IF(РазобратьJson(ЕгрюлБанки[[#This Row],[JSON Исходник]],"suggestions",1,"data","state","status")="LIQUIDATED","Ликвидированная","Присоединяемая")))</f>
        <v>Действующая</v>
      </c>
    </row>
    <row r="11" spans="1:23" ht="51" x14ac:dyDescent="0.2">
      <c r="A11" s="29" t="str">
        <f>CONCATENATE(ЕгрюлБанки[[#This Row],[Название краткое]])</f>
        <v>ФИЛИАЛ "РОСТОВСКИЙ" АО "АЛЬФА-БАНК"</v>
      </c>
      <c r="B11" s="18" t="s">
        <v>23</v>
      </c>
      <c r="C11" s="31" t="s">
        <v>28</v>
      </c>
      <c r="D11" s="21" t="str">
        <f>РазобратьJson(ЕгрюлБанки[[#This Row],[JSON Исходник]],"suggestions",1,"value")</f>
        <v>ФИЛИАЛ "РОСТОВСКИЙ" АО "АЛЬФА-БАНК"</v>
      </c>
      <c r="E11" s="21" t="str">
        <f>IF(ЕгрюлБанки[[#This Row],[my_Платежное наименование]]&lt;&gt;"",ЕгрюлБанки[[#This Row],[my_Платежное наименование]],РазобратьJson(ЕгрюлБанки[[#This Row],[JSON Исходник]],"suggestions",1,"data","name","payment"))</f>
        <v>ФИЛИАЛ "РОСТОВСКИЙ" АО "АЛЬФА-БАНК"</v>
      </c>
      <c r="F11" s="12"/>
      <c r="G11" s="21" t="str">
        <f>РазобратьJson(ЕгрюлБанки[[#This Row],[JSON Исходник]],"suggestions",1,"data","bic")</f>
        <v>046015207</v>
      </c>
      <c r="H11" s="21" t="str">
        <f>IF(РазобратьJson(ЕгрюлБанки[[#This Row],[JSON Исходник]],"suggestions",1,"data","correspondent_account")&lt;&gt;"",РазобратьJson(ЕгрюлБанки[[#This Row],[JSON Исходник]],"suggestions",1,"data","correspondent_account"),"")</f>
        <v>30101810500000000207</v>
      </c>
      <c r="I11" s="21" t="str">
        <f>IF(РазобратьJson(ЕгрюлБанки[[#This Row],[JSON Исходник]],"suggestions",1,"data","swift")&lt;&gt;"",РазобратьJson(ЕгрюлБанки[[#This Row],[JSON Исходник]],"suggestions",1,"data","swift"),"")</f>
        <v/>
      </c>
      <c r="J11" s="21" t="str">
        <f>IF(РазобратьJson(ЕгрюлБанки[[#This Row],[JSON Исходник]],"suggestions",1,"data","registration_number")&lt;&gt;"",РазобратьJson(ЕгрюлБанки[[#This Row],[JSON Исходник]],"suggestions",1,"data","registration_number"),"")</f>
        <v>1326/18</v>
      </c>
      <c r="K11" s="24" t="str">
        <f>IF(РазобратьJson(ЕгрюлБанки[[#This Row],[JSON Исходник]],"suggestions",1,"data","state","registration_date")&lt;&gt;"",DATE(1970,1,1)+РазобратьJson(ЕгрюлБанки[[#This Row],[JSON Исходник]],"suggestions",1,"data","state","registration_date")/1000/60/60/24,"")</f>
        <v/>
      </c>
      <c r="L11" s="21" t="str">
        <f>IF(РазобратьJson(ЕгрюлБанки[[#This Row],[JSON Исходник]],"suggestions",1,"data","opf","type")="BANK","Банк",IF(РазобратьJson(ЕгрюлБанки[[#This Row],[JSON Исходник]],"suggestions",1,"data","opf","type")="BANK_BRANCH","Филиал банка",IF(РазобратьJson(ЕгрюлБанки[[#This Row],[JSON Исходник]],"suggestions",1,"data","opf","type")="NKO","НКО",IF(РазобратьJson(ЕгрюлБанки[[#This Row],[JSON Исходник]],"suggestions",1,"data","opf","type")="NKO_BRANCH","филиал НКО",IF(РазобратьJson(ЕгрюлБанки[[#This Row],[JSON Исходник]],"suggestions",1,"data","opf","type")="RKC","расчетно-кассовый центр","Другой")))))</f>
        <v>Филиал банка</v>
      </c>
      <c r="M11" s="26" t="str">
        <f>IF(ЕгрюлБанки[[#This Row],[my_Индекс]]&lt;&gt;"",ЕгрюлБанки[[#This Row],[my_Индекс]],РазобратьJson(ЕгрюлБанки[[#This Row],[JSON Исходник]],"suggestions",1,"data","address","data","postal_code"))</f>
        <v>344000</v>
      </c>
      <c r="N11" s="14"/>
      <c r="O11" s="25" t="str">
        <f>IF(ЕгрюлБанки[[#This Row],[my_Адрес]]&lt;&gt;"",ЕгрюлБанки[[#This Row],[my_Адрес]],РазобратьJson(ЕгрюлБанки[[#This Row],[JSON Исходник]],"suggestions",1,"data","address","value"))</f>
        <v>г Ростов-на-Дону, ул Красноармейская, д 206</v>
      </c>
      <c r="P11" s="10"/>
      <c r="Q11" s="25" t="str">
        <f>РазобратьJson(ЕгрюлБанки[[#This Row],[JSON Исходник]],"suggestions",1,"data","address","unrestricted_value")</f>
        <v>Ростовская обл, г Ростов-на-Дону, ул Красноармейская, д 206</v>
      </c>
      <c r="R11" s="25" t="str">
        <f>РазобратьJson(ЕгрюлБанки[[#This Row],[JSON Исходник]],"suggestions",1,"data","address","data","source")</f>
        <v>344000, Ростов-на-Дону, ул Красноармейская, 206</v>
      </c>
      <c r="S11" s="21" t="str">
        <f>IF(РазобратьJson(ЕгрюлБанки[[#This Row],[JSON Исходник]],"suggestions",1,"data","address","data","qc")="0","Распознан","Надо проверить")</f>
        <v>Распознан</v>
      </c>
      <c r="T11" s="25" t="str">
        <f>IF(РазобратьJson(ЕгрюлБанки[[#This Row],[JSON Исходник]],"suggestions",1,"data","state","status")="ACTIVE","Действующая",IF(РазобратьJson(ЕгрюлБанки[[#This Row],[JSON Исходник]],"suggestions",1,"data","state","status")="LIQUIDATING","Ликвидируемая",IF(РазобратьJson(ЕгрюлБанки[[#This Row],[JSON Исходник]],"suggestions",1,"data","state","status")="LIQUIDATED","Ликвидированная","Присоединяемая")))</f>
        <v>Действующая</v>
      </c>
    </row>
    <row r="12" spans="1:23" ht="51" x14ac:dyDescent="0.2">
      <c r="A12" s="44" t="str">
        <f>CONCATENATE(ЕгрюлБанки[[#This Row],[Название краткое]])</f>
        <v>ЮЖНЫЙ ФИЛИАЛ АО "РАЙФФАЙЗЕНБАНК"</v>
      </c>
      <c r="B12" s="18" t="s">
        <v>39</v>
      </c>
      <c r="C12" s="49" t="s">
        <v>40</v>
      </c>
      <c r="D12" s="45" t="str">
        <f>РазобратьJson(ЕгрюлБанки[[#This Row],[JSON Исходник]],"suggestions",1,"value")</f>
        <v>ЮЖНЫЙ ФИЛИАЛ АО "РАЙФФАЙЗЕНБАНК"</v>
      </c>
      <c r="E12" s="45" t="str">
        <f>IF(ЕгрюлБанки[[#This Row],[my_Платежное наименование]]&lt;&gt;"",ЕгрюлБанки[[#This Row],[my_Платежное наименование]],РазобратьJson(ЕгрюлБанки[[#This Row],[JSON Исходник]],"suggestions",1,"data","name","payment"))</f>
        <v>ЮЖНЫЙ ФИЛИАЛ АО "РАЙФФАЙЗЕНБАНК"</v>
      </c>
      <c r="F12" s="41"/>
      <c r="G12" s="45" t="str">
        <f>РазобратьJson(ЕгрюлБанки[[#This Row],[JSON Исходник]],"suggestions",1,"data","bic")</f>
        <v>040349556</v>
      </c>
      <c r="H12" s="45" t="str">
        <f>IF(РазобратьJson(ЕгрюлБанки[[#This Row],[JSON Исходник]],"suggestions",1,"data","correspondent_account")&lt;&gt;"",РазобратьJson(ЕгрюлБанки[[#This Row],[JSON Исходник]],"suggestions",1,"data","correspondent_account"),"")</f>
        <v>30101810900000000556</v>
      </c>
      <c r="I12" s="45" t="str">
        <f>IF(РазобратьJson(ЕгрюлБанки[[#This Row],[JSON Исходник]],"suggestions",1,"data","swift")&lt;&gt;"",РазобратьJson(ЕгрюлБанки[[#This Row],[JSON Исходник]],"suggestions",1,"data","swift"),"")</f>
        <v/>
      </c>
      <c r="J12" s="45" t="str">
        <f>IF(РазобратьJson(ЕгрюлБанки[[#This Row],[JSON Исходник]],"suggestions",1,"data","registration_number")&lt;&gt;"",РазобратьJson(ЕгрюлБанки[[#This Row],[JSON Исходник]],"suggestions",1,"data","registration_number"),"")</f>
        <v>3292/7</v>
      </c>
      <c r="K12" s="46" t="str">
        <f>IF(РазобратьJson(ЕгрюлБанки[[#This Row],[JSON Исходник]],"suggestions",1,"data","state","registration_date")&lt;&gt;"",DATE(1970,1,1)+РазобратьJson(ЕгрюлБанки[[#This Row],[JSON Исходник]],"suggestions",1,"data","state","registration_date")/1000/60/60/24,"")</f>
        <v/>
      </c>
      <c r="L12" s="45" t="str">
        <f>IF(РазобратьJson(ЕгрюлБанки[[#This Row],[JSON Исходник]],"suggestions",1,"data","opf","type")="BANK","Банк",IF(РазобратьJson(ЕгрюлБанки[[#This Row],[JSON Исходник]],"suggestions",1,"data","opf","type")="BANK_BRANCH","Филиал банка",IF(РазобратьJson(ЕгрюлБанки[[#This Row],[JSON Исходник]],"suggestions",1,"data","opf","type")="NKO","НКО",IF(РазобратьJson(ЕгрюлБанки[[#This Row],[JSON Исходник]],"suggestions",1,"data","opf","type")="NKO_BRANCH","филиал НКО",IF(РазобратьJson(ЕгрюлБанки[[#This Row],[JSON Исходник]],"suggestions",1,"data","opf","type")="RKC","расчетно-кассовый центр","Другой")))))</f>
        <v>Филиал банка</v>
      </c>
      <c r="M12" s="47" t="str">
        <f>IF(ЕгрюлБанки[[#This Row],[my_Индекс]]&lt;&gt;"",ЕгрюлБанки[[#This Row],[my_Индекс]],РазобратьJson(ЕгрюлБанки[[#This Row],[JSON Исходник]],"suggestions",1,"data","address","data","postal_code"))</f>
        <v>350002</v>
      </c>
      <c r="N12" s="42"/>
      <c r="O12" s="45" t="str">
        <f>IF(ЕгрюлБанки[[#This Row],[my_Адрес]]&lt;&gt;"",ЕгрюлБанки[[#This Row],[my_Адрес]],РазобратьJson(ЕгрюлБанки[[#This Row],[JSON Исходник]],"suggestions",1,"data","address","value"))</f>
        <v>г Краснодар, ул Северная, д 395</v>
      </c>
      <c r="P12" s="43"/>
      <c r="Q12" s="48" t="str">
        <f>РазобратьJson(ЕгрюлБанки[[#This Row],[JSON Исходник]],"suggestions",1,"data","address","unrestricted_value")</f>
        <v>Краснодарский край, г Краснодар, ул Северная, д 395</v>
      </c>
      <c r="R12" s="48" t="str">
        <f>РазобратьJson(ЕгрюлБанки[[#This Row],[JSON Исходник]],"suggestions",1,"data","address","data","source")</f>
        <v>350002, Краснодар, ул Северная, 395</v>
      </c>
      <c r="S12" s="45" t="str">
        <f>IF(РазобратьJson(ЕгрюлБанки[[#This Row],[JSON Исходник]],"suggestions",1,"data","address","data","qc")="0","Распознан","Надо проверить")</f>
        <v>Распознан</v>
      </c>
      <c r="T12" s="48" t="str">
        <f>IF(РазобратьJson(ЕгрюлБанки[[#This Row],[JSON Исходник]],"suggestions",1,"data","state","status")="ACTIVE","Действующая",IF(РазобратьJson(ЕгрюлБанки[[#This Row],[JSON Исходник]],"suggestions",1,"data","state","status")="LIQUIDATING","Ликвидируемая",IF(РазобратьJson(ЕгрюлБанки[[#This Row],[JSON Исходник]],"suggestions",1,"data","state","status")="LIQUIDATED","Ликвидированная","Присоединяемая")))</f>
        <v>Действующая</v>
      </c>
    </row>
  </sheetData>
  <sheetProtection formatCells="0" formatColumns="0" formatRows="0" insertRows="0" insertHyperlinks="0" deleteRows="0" sort="0" autoFilter="0" pivotTables="0"/>
  <dataConsolidate/>
  <conditionalFormatting sqref="A2:T12">
    <cfRule type="expression" dxfId="2" priority="6">
      <formula>($T2&lt;&gt;"Действующая")</formula>
    </cfRule>
  </conditionalFormatting>
  <conditionalFormatting sqref="O2:O12">
    <cfRule type="expression" dxfId="1" priority="2">
      <formula>AND($S2="Надо проверить",$P2="")</formula>
    </cfRule>
  </conditionalFormatting>
  <conditionalFormatting sqref="A2:A12">
    <cfRule type="duplicateValues" dxfId="0" priority="47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87291-13C7-46B0-876D-35310B545A92}">
  <sheetPr codeName="Лист3"/>
  <dimension ref="A1:B9"/>
  <sheetViews>
    <sheetView workbookViewId="0">
      <selection activeCell="B9" sqref="B9"/>
    </sheetView>
  </sheetViews>
  <sheetFormatPr defaultRowHeight="12.75" x14ac:dyDescent="0.2"/>
  <cols>
    <col min="1" max="1" width="37.83203125" customWidth="1"/>
    <col min="2" max="2" width="97" customWidth="1"/>
  </cols>
  <sheetData>
    <row r="1" spans="1:2" ht="15" x14ac:dyDescent="0.25">
      <c r="A1" s="51" t="s">
        <v>42</v>
      </c>
      <c r="B1" s="51" t="s">
        <v>43</v>
      </c>
    </row>
    <row r="2" spans="1:2" ht="15" x14ac:dyDescent="0.25">
      <c r="A2" s="52" t="s">
        <v>44</v>
      </c>
      <c r="B2" s="52" t="str">
        <f ca="1">CELL("имяфайла")</f>
        <v>D:\docs\maxim\prj\prog\dev\model\contragents\[contragents_egrul.xlsm]Export</v>
      </c>
    </row>
    <row r="3" spans="1:2" ht="15" x14ac:dyDescent="0.25">
      <c r="A3" s="52" t="s">
        <v>45</v>
      </c>
      <c r="B3" s="52" t="str">
        <f ca="1">IF(ISERROR(FIND("\",VLOOKUP("paramSheet",ParamsFile[],2,FALSE))),VLOOKUP("paramSheet",ParamsFile[],2,FALSE),RIGHT(VLOOKUP("paramSheet",ParamsFile[],2,FALSE),LEN(VLOOKUP("paramSheet",ParamsFile[],2,FALSE))-
FIND("~",SUBSTITUTE(VLOOKUP("paramSheet",ParamsFile[],2,FALSE),"\","~",LEN(VLOOKUP("paramSheet",ParamsFile[],2,FALSE))-LEN(SUBSTITUTE(VLOOKUP("paramSheet",ParamsFile[],2,FALSE),"\",""))))))</f>
        <v>[contragents_egrul.xlsm]Export</v>
      </c>
    </row>
    <row r="4" spans="1:2" ht="15" x14ac:dyDescent="0.25">
      <c r="A4" s="52" t="s">
        <v>46</v>
      </c>
      <c r="B4" s="52" t="str">
        <f ca="1">SUBSTITUTE(VLOOKUP("paramSheet",ParamsFile[],2,FALSE),VLOOKUP("curFileAndSheet",ParamsFile[],2,FALSE),"")</f>
        <v>D:\docs\maxim\prj\prog\dev\model\contragents\</v>
      </c>
    </row>
    <row r="5" spans="1:2" ht="15" x14ac:dyDescent="0.25">
      <c r="A5" s="52" t="s">
        <v>47</v>
      </c>
      <c r="B5" s="52" t="str">
        <f ca="1">REPLACE(VLOOKUP("curFileAndSheet",ParamsFile[],2,FALSE),1,SEARCH(".xlsm]",VLOOKUP("curFileAndSheet",ParamsFile[],2,FALSE),1)+LEN(".xlsm]")-1,"")</f>
        <v>Export</v>
      </c>
    </row>
    <row r="6" spans="1:2" ht="15" x14ac:dyDescent="0.25">
      <c r="A6" s="52" t="s">
        <v>48</v>
      </c>
      <c r="B6" s="52" t="str">
        <f ca="1">REPLACE(REPLACE(SUBSTITUTE(VLOOKUP("curFileAndSheet",ParamsFile[],2,FALSE),VLOOKUP("paramSheetName",ParamsFile[],2,FALSE),""),LEN(SUBSTITUTE(VLOOKUP("curFileAndSheet",ParamsFile[],2,FALSE),VLOOKUP("paramSheetName",ParamsFile[],2,FALSE),"")),1,""),1,1,"")</f>
        <v>contragents_egrul.xlsm</v>
      </c>
    </row>
    <row r="7" spans="1:2" ht="15" x14ac:dyDescent="0.25">
      <c r="A7" s="52" t="s">
        <v>49</v>
      </c>
      <c r="B7" s="52" t="s">
        <v>50</v>
      </c>
    </row>
    <row r="8" spans="1:2" ht="15" x14ac:dyDescent="0.25">
      <c r="A8" s="53" t="s">
        <v>51</v>
      </c>
      <c r="B8" s="53" t="s">
        <v>52</v>
      </c>
    </row>
    <row r="9" spans="1:2" ht="15" x14ac:dyDescent="0.25">
      <c r="A9" s="53" t="s">
        <v>53</v>
      </c>
      <c r="B9" s="53" t="s">
        <v>54</v>
      </c>
    </row>
  </sheetData>
  <hyperlinks>
    <hyperlink ref="B9" r:id="rId1" xr:uid="{78141FAF-57A5-4ACB-A8CF-F5A177A03D35}"/>
  </hyperlinks>
  <pageMargins left="0.7" right="0.7" top="0.75" bottom="0.75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Банки</vt:lpstr>
      <vt:lpstr>Параметры</vt:lpstr>
      <vt:lpstr>RefBank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Гришкин</dc:creator>
  <cp:lastModifiedBy>Гришкин</cp:lastModifiedBy>
  <cp:lastPrinted>2019-07-05T13:43:21Z</cp:lastPrinted>
  <dcterms:created xsi:type="dcterms:W3CDTF">2019-04-05T07:19:03Z</dcterms:created>
  <dcterms:modified xsi:type="dcterms:W3CDTF">2022-07-05T12:55:33Z</dcterms:modified>
</cp:coreProperties>
</file>